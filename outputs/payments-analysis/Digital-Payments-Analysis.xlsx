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1b1529ee1bb4a73/Desktop/CHUDADDU/Data Analytics/Monday Labs/outputs/payments-analysis/"/>
    </mc:Choice>
  </mc:AlternateContent>
  <xr:revisionPtr revIDLastSave="2" documentId="11_F127B3FBAFD7F38CCD2E87963821201B037A43CD" xr6:coauthVersionLast="47" xr6:coauthVersionMax="47" xr10:uidLastSave="{09422587-4CEA-46D4-9D36-7BD9BE7A1402}"/>
  <bookViews>
    <workbookView xWindow="2304" yWindow="2304" windowWidth="17280" windowHeight="8880" xr2:uid="{00000000-000D-0000-FFFF-FFFF00000000}"/>
  </bookViews>
  <sheets>
    <sheet name="Overview" sheetId="1" r:id="rId1"/>
    <sheet name="Service analysis" sheetId="2" r:id="rId2"/>
    <sheet name="Listings" sheetId="3" r:id="rId3"/>
    <sheet name="Markets" sheetId="4" r:id="rId4"/>
    <sheet name="Original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6" i="3" l="1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F197" i="2"/>
  <c r="E197" i="2"/>
  <c r="D197" i="2"/>
  <c r="C197" i="2"/>
  <c r="F196" i="2"/>
  <c r="E196" i="2"/>
  <c r="D196" i="2"/>
  <c r="C196" i="2"/>
  <c r="F195" i="2"/>
  <c r="E195" i="2"/>
  <c r="D195" i="2"/>
  <c r="C195" i="2"/>
  <c r="F194" i="2"/>
  <c r="E194" i="2"/>
  <c r="D194" i="2"/>
  <c r="C194" i="2"/>
  <c r="F193" i="2"/>
  <c r="E193" i="2"/>
  <c r="D193" i="2"/>
  <c r="C193" i="2"/>
  <c r="F192" i="2"/>
  <c r="E192" i="2"/>
  <c r="D192" i="2"/>
  <c r="C192" i="2"/>
  <c r="F191" i="2"/>
  <c r="E191" i="2"/>
  <c r="D191" i="2"/>
  <c r="C191" i="2"/>
  <c r="F190" i="2"/>
  <c r="E190" i="2"/>
  <c r="D190" i="2"/>
  <c r="C190" i="2"/>
  <c r="F189" i="2"/>
  <c r="E189" i="2"/>
  <c r="D189" i="2"/>
  <c r="C189" i="2"/>
  <c r="F188" i="2"/>
  <c r="E188" i="2"/>
  <c r="D188" i="2"/>
  <c r="C188" i="2"/>
  <c r="F187" i="2"/>
  <c r="E187" i="2"/>
  <c r="D187" i="2"/>
  <c r="C187" i="2"/>
  <c r="F186" i="2"/>
  <c r="E186" i="2"/>
  <c r="D186" i="2"/>
  <c r="C186" i="2"/>
  <c r="F185" i="2"/>
  <c r="E185" i="2"/>
  <c r="D185" i="2"/>
  <c r="C185" i="2"/>
  <c r="F184" i="2"/>
  <c r="E184" i="2"/>
  <c r="D184" i="2"/>
  <c r="C184" i="2"/>
  <c r="F183" i="2"/>
  <c r="E183" i="2"/>
  <c r="D183" i="2"/>
  <c r="C183" i="2"/>
  <c r="F182" i="2"/>
  <c r="E182" i="2"/>
  <c r="D182" i="2"/>
  <c r="C182" i="2"/>
  <c r="F181" i="2"/>
  <c r="E181" i="2"/>
  <c r="D181" i="2"/>
  <c r="C181" i="2"/>
  <c r="F180" i="2"/>
  <c r="E180" i="2"/>
  <c r="D180" i="2"/>
  <c r="C180" i="2"/>
  <c r="F179" i="2"/>
  <c r="E179" i="2"/>
  <c r="D179" i="2"/>
  <c r="C179" i="2"/>
  <c r="F178" i="2"/>
  <c r="E178" i="2"/>
  <c r="D178" i="2"/>
  <c r="C178" i="2"/>
  <c r="F177" i="2"/>
  <c r="E177" i="2"/>
  <c r="D177" i="2"/>
  <c r="C177" i="2"/>
  <c r="F176" i="2"/>
  <c r="E176" i="2"/>
  <c r="D176" i="2"/>
  <c r="C176" i="2"/>
  <c r="F175" i="2"/>
  <c r="E175" i="2"/>
  <c r="D175" i="2"/>
  <c r="C175" i="2"/>
  <c r="F174" i="2"/>
  <c r="E174" i="2"/>
  <c r="D174" i="2"/>
  <c r="C174" i="2"/>
  <c r="F173" i="2"/>
  <c r="E173" i="2"/>
  <c r="D173" i="2"/>
  <c r="C173" i="2"/>
  <c r="F172" i="2"/>
  <c r="E172" i="2"/>
  <c r="D172" i="2"/>
  <c r="C172" i="2"/>
  <c r="F171" i="2"/>
  <c r="E171" i="2"/>
  <c r="D171" i="2"/>
  <c r="C171" i="2"/>
  <c r="F170" i="2"/>
  <c r="E170" i="2"/>
  <c r="D170" i="2"/>
  <c r="C170" i="2"/>
  <c r="F169" i="2"/>
  <c r="E169" i="2"/>
  <c r="D169" i="2"/>
  <c r="C169" i="2"/>
  <c r="F168" i="2"/>
  <c r="E168" i="2"/>
  <c r="D168" i="2"/>
  <c r="C168" i="2"/>
  <c r="F167" i="2"/>
  <c r="E167" i="2"/>
  <c r="D167" i="2"/>
  <c r="C167" i="2"/>
  <c r="F166" i="2"/>
  <c r="E166" i="2"/>
  <c r="D166" i="2"/>
  <c r="C166" i="2"/>
  <c r="F165" i="2"/>
  <c r="E165" i="2"/>
  <c r="D165" i="2"/>
  <c r="C165" i="2"/>
  <c r="F164" i="2"/>
  <c r="E164" i="2"/>
  <c r="D164" i="2"/>
  <c r="C164" i="2"/>
  <c r="F163" i="2"/>
  <c r="E163" i="2"/>
  <c r="D163" i="2"/>
  <c r="C163" i="2"/>
  <c r="F162" i="2"/>
  <c r="E162" i="2"/>
  <c r="D162" i="2"/>
  <c r="C162" i="2"/>
  <c r="F161" i="2"/>
  <c r="E161" i="2"/>
  <c r="D161" i="2"/>
  <c r="C161" i="2"/>
  <c r="F160" i="2"/>
  <c r="E160" i="2"/>
  <c r="D160" i="2"/>
  <c r="C160" i="2"/>
  <c r="F159" i="2"/>
  <c r="E159" i="2"/>
  <c r="D159" i="2"/>
  <c r="C159" i="2"/>
  <c r="F158" i="2"/>
  <c r="E158" i="2"/>
  <c r="D158" i="2"/>
  <c r="C158" i="2"/>
  <c r="F157" i="2"/>
  <c r="E157" i="2"/>
  <c r="D157" i="2"/>
  <c r="C157" i="2"/>
  <c r="F156" i="2"/>
  <c r="E156" i="2"/>
  <c r="D156" i="2"/>
  <c r="C156" i="2"/>
  <c r="F155" i="2"/>
  <c r="E155" i="2"/>
  <c r="D155" i="2"/>
  <c r="C155" i="2"/>
  <c r="F154" i="2"/>
  <c r="E154" i="2"/>
  <c r="D154" i="2"/>
  <c r="C154" i="2"/>
  <c r="F153" i="2"/>
  <c r="E153" i="2"/>
  <c r="D153" i="2"/>
  <c r="C153" i="2"/>
  <c r="F152" i="2"/>
  <c r="E152" i="2"/>
  <c r="D152" i="2"/>
  <c r="C152" i="2"/>
  <c r="F151" i="2"/>
  <c r="E151" i="2"/>
  <c r="D151" i="2"/>
  <c r="C151" i="2"/>
  <c r="F150" i="2"/>
  <c r="E150" i="2"/>
  <c r="D150" i="2"/>
  <c r="C150" i="2"/>
  <c r="F149" i="2"/>
  <c r="E149" i="2"/>
  <c r="D149" i="2"/>
  <c r="C149" i="2"/>
  <c r="F148" i="2"/>
  <c r="E148" i="2"/>
  <c r="D148" i="2"/>
  <c r="C148" i="2"/>
  <c r="F147" i="2"/>
  <c r="E147" i="2"/>
  <c r="D147" i="2"/>
  <c r="C147" i="2"/>
  <c r="F146" i="2"/>
  <c r="E146" i="2"/>
  <c r="D146" i="2"/>
  <c r="C146" i="2"/>
  <c r="F145" i="2"/>
  <c r="E145" i="2"/>
  <c r="D145" i="2"/>
  <c r="C145" i="2"/>
  <c r="F144" i="2"/>
  <c r="E144" i="2"/>
  <c r="D144" i="2"/>
  <c r="C144" i="2"/>
  <c r="F143" i="2"/>
  <c r="E143" i="2"/>
  <c r="D143" i="2"/>
  <c r="C143" i="2"/>
  <c r="F142" i="2"/>
  <c r="E142" i="2"/>
  <c r="D142" i="2"/>
  <c r="C142" i="2"/>
  <c r="F141" i="2"/>
  <c r="E141" i="2"/>
  <c r="D141" i="2"/>
  <c r="C141" i="2"/>
  <c r="F140" i="2"/>
  <c r="E140" i="2"/>
  <c r="D140" i="2"/>
  <c r="C140" i="2"/>
  <c r="E139" i="2"/>
  <c r="D139" i="2"/>
  <c r="F139" i="2" s="1"/>
  <c r="C139" i="2"/>
  <c r="F138" i="2"/>
  <c r="E138" i="2"/>
  <c r="D138" i="2"/>
  <c r="C138" i="2"/>
  <c r="F137" i="2"/>
  <c r="E137" i="2"/>
  <c r="D137" i="2"/>
  <c r="C137" i="2"/>
  <c r="F136" i="2"/>
  <c r="E136" i="2"/>
  <c r="D136" i="2"/>
  <c r="C136" i="2"/>
  <c r="F135" i="2"/>
  <c r="E135" i="2"/>
  <c r="D135" i="2"/>
  <c r="C135" i="2"/>
  <c r="F134" i="2"/>
  <c r="E134" i="2"/>
  <c r="D134" i="2"/>
  <c r="C134" i="2"/>
  <c r="F133" i="2"/>
  <c r="E133" i="2"/>
  <c r="D133" i="2"/>
  <c r="C133" i="2"/>
  <c r="F132" i="2"/>
  <c r="E132" i="2"/>
  <c r="D132" i="2"/>
  <c r="C132" i="2"/>
  <c r="F131" i="2"/>
  <c r="E131" i="2"/>
  <c r="D131" i="2"/>
  <c r="C131" i="2"/>
  <c r="F130" i="2"/>
  <c r="E130" i="2"/>
  <c r="D130" i="2"/>
  <c r="C130" i="2"/>
  <c r="F129" i="2"/>
  <c r="E129" i="2"/>
  <c r="D129" i="2"/>
  <c r="C129" i="2"/>
  <c r="F128" i="2"/>
  <c r="E128" i="2"/>
  <c r="D128" i="2"/>
  <c r="C128" i="2"/>
  <c r="F127" i="2"/>
  <c r="E127" i="2"/>
  <c r="D127" i="2"/>
  <c r="C127" i="2"/>
  <c r="F126" i="2"/>
  <c r="E126" i="2"/>
  <c r="D126" i="2"/>
  <c r="C126" i="2"/>
  <c r="F125" i="2"/>
  <c r="E125" i="2"/>
  <c r="D125" i="2"/>
  <c r="C125" i="2"/>
  <c r="F124" i="2"/>
  <c r="E124" i="2"/>
  <c r="D124" i="2"/>
  <c r="C124" i="2"/>
  <c r="F123" i="2"/>
  <c r="E123" i="2"/>
  <c r="D123" i="2"/>
  <c r="C123" i="2"/>
  <c r="F122" i="2"/>
  <c r="E122" i="2"/>
  <c r="D122" i="2"/>
  <c r="C122" i="2"/>
  <c r="F121" i="2"/>
  <c r="E121" i="2"/>
  <c r="D121" i="2"/>
  <c r="C121" i="2"/>
  <c r="F120" i="2"/>
  <c r="E120" i="2"/>
  <c r="D120" i="2"/>
  <c r="C120" i="2"/>
  <c r="F119" i="2"/>
  <c r="E119" i="2"/>
  <c r="D119" i="2"/>
  <c r="C119" i="2"/>
  <c r="F118" i="2"/>
  <c r="E118" i="2"/>
  <c r="D118" i="2"/>
  <c r="C118" i="2"/>
  <c r="F117" i="2"/>
  <c r="E117" i="2"/>
  <c r="D117" i="2"/>
  <c r="C117" i="2"/>
  <c r="E116" i="2"/>
  <c r="F116" i="2" s="1"/>
  <c r="D116" i="2"/>
  <c r="C116" i="2"/>
  <c r="F115" i="2"/>
  <c r="E115" i="2"/>
  <c r="D115" i="2"/>
  <c r="C115" i="2"/>
  <c r="F114" i="2"/>
  <c r="E114" i="2"/>
  <c r="D114" i="2"/>
  <c r="C114" i="2"/>
  <c r="F113" i="2"/>
  <c r="E113" i="2"/>
  <c r="D113" i="2"/>
  <c r="C113" i="2"/>
  <c r="F112" i="2"/>
  <c r="E112" i="2"/>
  <c r="D112" i="2"/>
  <c r="C112" i="2"/>
  <c r="F111" i="2"/>
  <c r="E111" i="2"/>
  <c r="D111" i="2"/>
  <c r="C111" i="2"/>
  <c r="F110" i="2"/>
  <c r="E110" i="2"/>
  <c r="D110" i="2"/>
  <c r="C110" i="2"/>
  <c r="F109" i="2"/>
  <c r="E109" i="2"/>
  <c r="D109" i="2"/>
  <c r="C109" i="2"/>
  <c r="F108" i="2"/>
  <c r="E108" i="2"/>
  <c r="D108" i="2"/>
  <c r="C108" i="2"/>
  <c r="F107" i="2"/>
  <c r="E107" i="2"/>
  <c r="D107" i="2"/>
  <c r="C107" i="2"/>
  <c r="F106" i="2"/>
  <c r="E106" i="2"/>
  <c r="D106" i="2"/>
  <c r="C106" i="2"/>
  <c r="F105" i="2"/>
  <c r="E105" i="2"/>
  <c r="D105" i="2"/>
  <c r="C105" i="2"/>
  <c r="F104" i="2"/>
  <c r="E104" i="2"/>
  <c r="D104" i="2"/>
  <c r="C104" i="2"/>
  <c r="F103" i="2"/>
  <c r="E103" i="2"/>
  <c r="D103" i="2"/>
  <c r="C103" i="2"/>
  <c r="F102" i="2"/>
  <c r="E102" i="2"/>
  <c r="D102" i="2"/>
  <c r="C102" i="2"/>
  <c r="F101" i="2"/>
  <c r="E101" i="2"/>
  <c r="D101" i="2"/>
  <c r="C101" i="2"/>
  <c r="F100" i="2"/>
  <c r="E100" i="2"/>
  <c r="D100" i="2"/>
  <c r="C100" i="2"/>
  <c r="F99" i="2"/>
  <c r="E99" i="2"/>
  <c r="D99" i="2"/>
  <c r="C99" i="2"/>
  <c r="F98" i="2"/>
  <c r="E98" i="2"/>
  <c r="D98" i="2"/>
  <c r="C98" i="2"/>
  <c r="F97" i="2"/>
  <c r="E97" i="2"/>
  <c r="D97" i="2"/>
  <c r="C97" i="2"/>
  <c r="F96" i="2"/>
  <c r="E96" i="2"/>
  <c r="D96" i="2"/>
  <c r="C96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90" i="2"/>
  <c r="E90" i="2"/>
  <c r="D90" i="2"/>
  <c r="C90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E79" i="2"/>
  <c r="D79" i="2"/>
  <c r="F79" i="2" s="1"/>
  <c r="C79" i="2"/>
  <c r="F78" i="2"/>
  <c r="E78" i="2"/>
  <c r="D78" i="2"/>
  <c r="C78" i="2"/>
  <c r="E77" i="2"/>
  <c r="D77" i="2"/>
  <c r="F77" i="2" s="1"/>
  <c r="C77" i="2"/>
  <c r="F76" i="2"/>
  <c r="E76" i="2"/>
  <c r="D76" i="2"/>
  <c r="C76" i="2"/>
  <c r="E75" i="2"/>
  <c r="D75" i="2"/>
  <c r="F75" i="2" s="1"/>
  <c r="C75" i="2"/>
  <c r="F74" i="2"/>
  <c r="E74" i="2"/>
  <c r="D74" i="2"/>
  <c r="C74" i="2"/>
  <c r="E73" i="2"/>
  <c r="D73" i="2"/>
  <c r="F73" i="2" s="1"/>
  <c r="C73" i="2"/>
  <c r="F72" i="2"/>
  <c r="E72" i="2"/>
  <c r="D72" i="2"/>
  <c r="C72" i="2"/>
  <c r="E71" i="2"/>
  <c r="D71" i="2"/>
  <c r="F71" i="2" s="1"/>
  <c r="C71" i="2"/>
  <c r="F70" i="2"/>
  <c r="E70" i="2"/>
  <c r="D70" i="2"/>
  <c r="C70" i="2"/>
  <c r="E69" i="2"/>
  <c r="D69" i="2"/>
  <c r="F69" i="2" s="1"/>
  <c r="C69" i="2"/>
  <c r="F68" i="2"/>
  <c r="E68" i="2"/>
  <c r="D68" i="2"/>
  <c r="C68" i="2"/>
  <c r="E67" i="2"/>
  <c r="D67" i="2"/>
  <c r="F67" i="2" s="1"/>
  <c r="C67" i="2"/>
  <c r="F66" i="2"/>
  <c r="E66" i="2"/>
  <c r="D66" i="2"/>
  <c r="C66" i="2"/>
  <c r="E65" i="2"/>
  <c r="D65" i="2"/>
  <c r="F65" i="2" s="1"/>
  <c r="C65" i="2"/>
  <c r="F64" i="2"/>
  <c r="E64" i="2"/>
  <c r="D64" i="2"/>
  <c r="C64" i="2"/>
  <c r="E63" i="2"/>
  <c r="D63" i="2"/>
  <c r="F63" i="2" s="1"/>
  <c r="C63" i="2"/>
  <c r="E62" i="2"/>
  <c r="F62" i="2" s="1"/>
  <c r="D62" i="2"/>
  <c r="C62" i="2"/>
  <c r="E61" i="2"/>
  <c r="D61" i="2"/>
  <c r="F61" i="2" s="1"/>
  <c r="C61" i="2"/>
  <c r="E60" i="2"/>
  <c r="F60" i="2" s="1"/>
  <c r="D60" i="2"/>
  <c r="C60" i="2"/>
  <c r="E59" i="2"/>
  <c r="D59" i="2"/>
  <c r="F59" i="2" s="1"/>
  <c r="C59" i="2"/>
  <c r="E58" i="2"/>
  <c r="F58" i="2" s="1"/>
  <c r="D58" i="2"/>
  <c r="C58" i="2"/>
  <c r="E57" i="2"/>
  <c r="D57" i="2"/>
  <c r="F57" i="2" s="1"/>
  <c r="C57" i="2"/>
  <c r="E56" i="2"/>
  <c r="F56" i="2" s="1"/>
  <c r="D56" i="2"/>
  <c r="C56" i="2"/>
  <c r="E55" i="2"/>
  <c r="D55" i="2"/>
  <c r="F55" i="2" s="1"/>
  <c r="C55" i="2"/>
  <c r="E54" i="2"/>
  <c r="F54" i="2" s="1"/>
  <c r="D54" i="2"/>
  <c r="C54" i="2"/>
  <c r="E53" i="2"/>
  <c r="D53" i="2"/>
  <c r="F53" i="2" s="1"/>
  <c r="C53" i="2"/>
  <c r="E52" i="2"/>
  <c r="D52" i="2"/>
  <c r="F52" i="2" s="1"/>
  <c r="C52" i="2"/>
  <c r="E51" i="2"/>
  <c r="D51" i="2"/>
  <c r="F51" i="2" s="1"/>
  <c r="C51" i="2"/>
  <c r="E50" i="2"/>
  <c r="D50" i="2"/>
  <c r="F50" i="2" s="1"/>
  <c r="C50" i="2"/>
  <c r="E49" i="2"/>
  <c r="D49" i="2"/>
  <c r="F49" i="2" s="1"/>
  <c r="C49" i="2"/>
  <c r="E48" i="2"/>
  <c r="D48" i="2"/>
  <c r="F48" i="2" s="1"/>
  <c r="C48" i="2"/>
  <c r="E47" i="2"/>
  <c r="D47" i="2"/>
  <c r="F47" i="2" s="1"/>
  <c r="C47" i="2"/>
  <c r="E46" i="2"/>
  <c r="D46" i="2"/>
  <c r="F46" i="2" s="1"/>
  <c r="C46" i="2"/>
  <c r="E45" i="2"/>
  <c r="D45" i="2"/>
  <c r="F45" i="2" s="1"/>
  <c r="C45" i="2"/>
  <c r="E44" i="2"/>
  <c r="D44" i="2"/>
  <c r="F44" i="2" s="1"/>
  <c r="C44" i="2"/>
  <c r="E43" i="2"/>
  <c r="D43" i="2"/>
  <c r="F43" i="2" s="1"/>
  <c r="C43" i="2"/>
  <c r="E42" i="2"/>
  <c r="D42" i="2"/>
  <c r="F42" i="2" s="1"/>
  <c r="C42" i="2"/>
  <c r="E41" i="2"/>
  <c r="D41" i="2"/>
  <c r="F41" i="2" s="1"/>
  <c r="C41" i="2"/>
  <c r="E40" i="2"/>
  <c r="D40" i="2"/>
  <c r="F40" i="2" s="1"/>
  <c r="C40" i="2"/>
  <c r="E39" i="2"/>
  <c r="D39" i="2"/>
  <c r="F39" i="2" s="1"/>
  <c r="C39" i="2"/>
  <c r="E38" i="2"/>
  <c r="D38" i="2"/>
  <c r="F38" i="2" s="1"/>
  <c r="C38" i="2"/>
  <c r="E37" i="2"/>
  <c r="D37" i="2"/>
  <c r="F37" i="2" s="1"/>
  <c r="C37" i="2"/>
  <c r="E36" i="2"/>
  <c r="D36" i="2"/>
  <c r="F36" i="2" s="1"/>
  <c r="C36" i="2"/>
  <c r="E35" i="2"/>
  <c r="D35" i="2"/>
  <c r="F35" i="2" s="1"/>
  <c r="C35" i="2"/>
  <c r="E34" i="2"/>
  <c r="D34" i="2"/>
  <c r="F34" i="2" s="1"/>
  <c r="C34" i="2"/>
  <c r="E33" i="2"/>
  <c r="D33" i="2"/>
  <c r="F33" i="2" s="1"/>
  <c r="C33" i="2"/>
  <c r="E32" i="2"/>
  <c r="D32" i="2"/>
  <c r="F32" i="2" s="1"/>
  <c r="C32" i="2"/>
  <c r="E31" i="2"/>
  <c r="D31" i="2"/>
  <c r="F31" i="2" s="1"/>
  <c r="C31" i="2"/>
  <c r="E30" i="2"/>
  <c r="D30" i="2"/>
  <c r="F30" i="2" s="1"/>
  <c r="C30" i="2"/>
  <c r="E29" i="2"/>
  <c r="D29" i="2"/>
  <c r="F29" i="2" s="1"/>
  <c r="C29" i="2"/>
  <c r="E28" i="2"/>
  <c r="D28" i="2"/>
  <c r="F28" i="2" s="1"/>
  <c r="C28" i="2"/>
  <c r="E27" i="2"/>
  <c r="D27" i="2"/>
  <c r="F27" i="2" s="1"/>
  <c r="C27" i="2"/>
  <c r="E26" i="2"/>
  <c r="D26" i="2"/>
  <c r="F26" i="2" s="1"/>
  <c r="C26" i="2"/>
  <c r="E25" i="2"/>
  <c r="D25" i="2"/>
  <c r="F25" i="2" s="1"/>
  <c r="C25" i="2"/>
  <c r="E24" i="2"/>
  <c r="D24" i="2"/>
  <c r="F24" i="2" s="1"/>
  <c r="C24" i="2"/>
  <c r="E23" i="2"/>
  <c r="D23" i="2"/>
  <c r="F23" i="2" s="1"/>
  <c r="C23" i="2"/>
  <c r="E22" i="2"/>
  <c r="D22" i="2"/>
  <c r="F22" i="2" s="1"/>
  <c r="C22" i="2"/>
  <c r="E21" i="2"/>
  <c r="D21" i="2"/>
  <c r="F21" i="2" s="1"/>
  <c r="C21" i="2"/>
  <c r="E20" i="2"/>
  <c r="D20" i="2"/>
  <c r="F20" i="2" s="1"/>
  <c r="C20" i="2"/>
  <c r="E19" i="2"/>
  <c r="D19" i="2"/>
  <c r="F19" i="2" s="1"/>
  <c r="C19" i="2"/>
  <c r="E18" i="2"/>
  <c r="D18" i="2"/>
  <c r="F18" i="2" s="1"/>
  <c r="C18" i="2"/>
  <c r="E17" i="2"/>
  <c r="D17" i="2"/>
  <c r="F17" i="2" s="1"/>
  <c r="C17" i="2"/>
  <c r="E16" i="2"/>
  <c r="D16" i="2"/>
  <c r="F16" i="2" s="1"/>
  <c r="C16" i="2"/>
  <c r="E15" i="2"/>
  <c r="D15" i="2"/>
  <c r="F15" i="2" s="1"/>
  <c r="C15" i="2"/>
  <c r="E14" i="2"/>
  <c r="D14" i="2"/>
  <c r="F14" i="2" s="1"/>
  <c r="C14" i="2"/>
  <c r="E13" i="2"/>
  <c r="D13" i="2"/>
  <c r="F13" i="2" s="1"/>
  <c r="C13" i="2"/>
  <c r="E12" i="2"/>
  <c r="D12" i="2"/>
  <c r="F12" i="2" s="1"/>
  <c r="C12" i="2"/>
  <c r="E11" i="2"/>
  <c r="D11" i="2"/>
  <c r="F11" i="2" s="1"/>
  <c r="C11" i="2"/>
  <c r="E10" i="2"/>
  <c r="D10" i="2"/>
  <c r="F10" i="2" s="1"/>
  <c r="C10" i="2"/>
  <c r="E9" i="2"/>
  <c r="D9" i="2"/>
  <c r="F9" i="2" s="1"/>
  <c r="C9" i="2"/>
  <c r="E8" i="2"/>
  <c r="D8" i="2"/>
  <c r="F8" i="2" s="1"/>
  <c r="C8" i="2"/>
  <c r="E7" i="2"/>
  <c r="D7" i="2"/>
  <c r="F7" i="2" s="1"/>
  <c r="C7" i="2"/>
  <c r="E19" i="1"/>
  <c r="E18" i="1"/>
  <c r="E16" i="1"/>
  <c r="E15" i="1"/>
  <c r="E14" i="1"/>
  <c r="K7" i="1"/>
  <c r="H7" i="1"/>
  <c r="E7" i="1"/>
  <c r="B7" i="1"/>
</calcChain>
</file>

<file path=xl/sharedStrings.xml><?xml version="1.0" encoding="utf-8"?>
<sst xmlns="http://schemas.openxmlformats.org/spreadsheetml/2006/main" count="4750" uniqueCount="1747">
  <si>
    <t>Digital Payments Analysis</t>
  </si>
  <si>
    <t>Original collaborative research snapshot. Coverage counts markets mentioning a service.</t>
  </si>
  <si>
    <t>Markets</t>
  </si>
  <si>
    <t>Services</t>
  </si>
  <si>
    <t>Listings</t>
  </si>
  <si>
    <t>Unverified shares</t>
  </si>
  <si>
    <t>Market comparison</t>
  </si>
  <si>
    <t>Select market</t>
  </si>
  <si>
    <t>India</t>
  </si>
  <si>
    <t>Main service</t>
  </si>
  <si>
    <t>Alternative 1</t>
  </si>
  <si>
    <t>Alternative 2</t>
  </si>
  <si>
    <t>Unverified share</t>
  </si>
  <si>
    <t>Evidence status</t>
  </si>
  <si>
    <t>Share values need dated primary sources and a definition before comparison.</t>
  </si>
  <si>
    <t>Counting the same service twice in one market does not increase coverage.</t>
  </si>
  <si>
    <t>Tanzania lists M-Pesa as both its main service and an alternative.</t>
  </si>
  <si>
    <t>Refresh: regenerate the prepared CSVs when the original dataset changes.</t>
  </si>
  <si>
    <t>Replace the prepared tables, extend formulas if needed, and re-sort Service analysis.</t>
  </si>
  <si>
    <t>Service coverage in the dataset</t>
  </si>
  <si>
    <t>Counts are dataset mentions. Rows are ordered by baseline coverage; re-sort the table after changing inputs.</t>
  </si>
  <si>
    <t>Service ID</t>
  </si>
  <si>
    <t>Service</t>
  </si>
  <si>
    <t>Distinct markets</t>
  </si>
  <si>
    <t>Primary listings</t>
  </si>
  <si>
    <t>Alternative listings</t>
  </si>
  <si>
    <t>Total listings</t>
  </si>
  <si>
    <t>Sab8a4f6bb84d</t>
  </si>
  <si>
    <t>PayPal</t>
  </si>
  <si>
    <t>S9bb3a91fbff8</t>
  </si>
  <si>
    <t>Apple Pay</t>
  </si>
  <si>
    <t>Sdd53271a2e06</t>
  </si>
  <si>
    <t>Revolut</t>
  </si>
  <si>
    <t>Scfe1ae6e7f3a</t>
  </si>
  <si>
    <t>Google Pay</t>
  </si>
  <si>
    <t>Sd5b72847b212</t>
  </si>
  <si>
    <t>Alipay</t>
  </si>
  <si>
    <t>S57b68256e28f</t>
  </si>
  <si>
    <t>MTN Mobile Money</t>
  </si>
  <si>
    <t>Seecadce162c6</t>
  </si>
  <si>
    <t>MobilePay</t>
  </si>
  <si>
    <t>S30438e444cb9</t>
  </si>
  <si>
    <t>Orange Money</t>
  </si>
  <si>
    <t>Seffe340b87b3</t>
  </si>
  <si>
    <t>GCash</t>
  </si>
  <si>
    <t>Sa2e779358d0d</t>
  </si>
  <si>
    <t>Klarna</t>
  </si>
  <si>
    <t>Sfe640272446b</t>
  </si>
  <si>
    <t>Mercado Pago</t>
  </si>
  <si>
    <t>Scd248346b654</t>
  </si>
  <si>
    <t>Samsung Pay</t>
  </si>
  <si>
    <t>S4b4db0817515</t>
  </si>
  <si>
    <t>TWINT</t>
  </si>
  <si>
    <t>Sa39c6414ea1e</t>
  </si>
  <si>
    <t>WeChat Pay</t>
  </si>
  <si>
    <t>S032a27679a37</t>
  </si>
  <si>
    <t>Afterpay</t>
  </si>
  <si>
    <t>S95ba4ed9329f</t>
  </si>
  <si>
    <t>Click</t>
  </si>
  <si>
    <t>S177eb549798b</t>
  </si>
  <si>
    <t>GoPay</t>
  </si>
  <si>
    <t>S9518f42ad7fb</t>
  </si>
  <si>
    <t>Google Wallet</t>
  </si>
  <si>
    <t>S09996930be63</t>
  </si>
  <si>
    <t>GrabPay</t>
  </si>
  <si>
    <t>Se3a205bb818f</t>
  </si>
  <si>
    <t>LINE Pay</t>
  </si>
  <si>
    <t>S53db2806be5a</t>
  </si>
  <si>
    <t>M-Pesa</t>
  </si>
  <si>
    <t>S4f61b35afbac</t>
  </si>
  <si>
    <t>MoMo</t>
  </si>
  <si>
    <t>S97aaa5725e62</t>
  </si>
  <si>
    <t>PayU</t>
  </si>
  <si>
    <t>S658e993fb9d6</t>
  </si>
  <si>
    <t>Payconiq</t>
  </si>
  <si>
    <t>S1c8aa3a6466b</t>
  </si>
  <si>
    <t>Payoneer</t>
  </si>
  <si>
    <t>S8ce839d84089</t>
  </si>
  <si>
    <t>Tigo Money</t>
  </si>
  <si>
    <t>Scc9155d76e81</t>
  </si>
  <si>
    <t>Yandex.Money</t>
  </si>
  <si>
    <t>Sfb1c3e32ff7c</t>
  </si>
  <si>
    <t>Zain Cash</t>
  </si>
  <si>
    <t>Sea0c0ee3ba62</t>
  </si>
  <si>
    <t>ABA Mobile</t>
  </si>
  <si>
    <t>Sa186ae7a8096</t>
  </si>
  <si>
    <t>ATH Móvil</t>
  </si>
  <si>
    <t>S0e3d54f3e7b6</t>
  </si>
  <si>
    <t>Abitab</t>
  </si>
  <si>
    <t>S8409bece1699</t>
  </si>
  <si>
    <t>AirCash</t>
  </si>
  <si>
    <t>S91c395c3c9e0</t>
  </si>
  <si>
    <t>Airtel Money</t>
  </si>
  <si>
    <t>Sb644e31f390d</t>
  </si>
  <si>
    <t>Airtel Uganda</t>
  </si>
  <si>
    <t>S6db696456e43</t>
  </si>
  <si>
    <t>AirtelTigo</t>
  </si>
  <si>
    <t>See286ba33708</t>
  </si>
  <si>
    <t>Aman</t>
  </si>
  <si>
    <t>Sfc8e27f609f4</t>
  </si>
  <si>
    <t>Amole</t>
  </si>
  <si>
    <t>Sfb8965ab4a52</t>
  </si>
  <si>
    <t>AniPay</t>
  </si>
  <si>
    <t>Sc7d464d29ff2</t>
  </si>
  <si>
    <t>AnyPay</t>
  </si>
  <si>
    <t>Se2ad46d3f48e</t>
  </si>
  <si>
    <t>AzeriPay</t>
  </si>
  <si>
    <t>S847ed24aba8f</t>
  </si>
  <si>
    <t>BAC Credomatic</t>
  </si>
  <si>
    <t>S9ab007d4bdcf</t>
  </si>
  <si>
    <t>BANRURAL</t>
  </si>
  <si>
    <t>S12ca66653f33</t>
  </si>
  <si>
    <t>BKM Express</t>
  </si>
  <si>
    <t>S354add2d89a1</t>
  </si>
  <si>
    <t>BLIK</t>
  </si>
  <si>
    <t>S5e1d15a80a51</t>
  </si>
  <si>
    <t>Banca Móvil BCP</t>
  </si>
  <si>
    <t>S028fa62fc793</t>
  </si>
  <si>
    <t>Banco de Venezuela</t>
  </si>
  <si>
    <t>S8370f96e9d93</t>
  </si>
  <si>
    <t>Bancolombia</t>
  </si>
  <si>
    <t>S84e7c82fea0f</t>
  </si>
  <si>
    <t>Bancontact</t>
  </si>
  <si>
    <t>S6091bb1c77f0</t>
  </si>
  <si>
    <t>Banistmo</t>
  </si>
  <si>
    <t>S9fdb2b0725ab</t>
  </si>
  <si>
    <t>Bank Muscat</t>
  </si>
  <si>
    <t>S3bf830ec58e4</t>
  </si>
  <si>
    <t>Barid Bank</t>
  </si>
  <si>
    <t>S9f4c0a6f6150</t>
  </si>
  <si>
    <t>Barion</t>
  </si>
  <si>
    <t>S49f1fb437cf1</t>
  </si>
  <si>
    <t>Benefit Pay</t>
  </si>
  <si>
    <t>S2f77e8e6b5c1</t>
  </si>
  <si>
    <t>Billet</t>
  </si>
  <si>
    <t>Sf1624fcc63b6</t>
  </si>
  <si>
    <t>Binance</t>
  </si>
  <si>
    <t>Se1acedc90190</t>
  </si>
  <si>
    <t>BitPay</t>
  </si>
  <si>
    <t>S09bf90a11ae3</t>
  </si>
  <si>
    <t>Bizum</t>
  </si>
  <si>
    <t>S0d791a0a6f01</t>
  </si>
  <si>
    <t>Boost</t>
  </si>
  <si>
    <t>S0dbf7f12f197</t>
  </si>
  <si>
    <t>CBQ Mobile</t>
  </si>
  <si>
    <t>Sa9314df8e7a9</t>
  </si>
  <si>
    <t>CIB</t>
  </si>
  <si>
    <t>Sb3b4252796e8</t>
  </si>
  <si>
    <t>CIH Mobile</t>
  </si>
  <si>
    <t>S2d0bec069274</t>
  </si>
  <si>
    <t>CIMB OCTO MY</t>
  </si>
  <si>
    <t>Sa35b4fd24390</t>
  </si>
  <si>
    <t>Cash Plus</t>
  </si>
  <si>
    <t>Sb776149d47e3</t>
  </si>
  <si>
    <t>CashAddress</t>
  </si>
  <si>
    <t>S39dd0861d128</t>
  </si>
  <si>
    <t>DANA</t>
  </si>
  <si>
    <t>Sc953363739d2</t>
  </si>
  <si>
    <t>DBS PayLah</t>
  </si>
  <si>
    <t>S49b7ccf946a7</t>
  </si>
  <si>
    <t>Daviplata</t>
  </si>
  <si>
    <t>Sd289ae1c3730</t>
  </si>
  <si>
    <t>Dialog eZ Cash</t>
  </si>
  <si>
    <t>S851925fb67ea</t>
  </si>
  <si>
    <t>Diners Club</t>
  </si>
  <si>
    <t>S742a084076c8</t>
  </si>
  <si>
    <t>E-dinar</t>
  </si>
  <si>
    <t>S8a2d4c009231</t>
  </si>
  <si>
    <t>EasyPaisa</t>
  </si>
  <si>
    <t>Sf9b71269f6ff</t>
  </si>
  <si>
    <t>EasyPay</t>
  </si>
  <si>
    <t>Sf46b7c2274d4</t>
  </si>
  <si>
    <t>Easypay</t>
  </si>
  <si>
    <t>Sdc19504a356a</t>
  </si>
  <si>
    <t>EnZona</t>
  </si>
  <si>
    <t>S33e6460b0614</t>
  </si>
  <si>
    <t>FastPay</t>
  </si>
  <si>
    <t>Se9bcb76e743e</t>
  </si>
  <si>
    <t>Fawry</t>
  </si>
  <si>
    <t>S419c017fec88</t>
  </si>
  <si>
    <t>Flutterwave</t>
  </si>
  <si>
    <t>Sfe4df7a72733</t>
  </si>
  <si>
    <t>Galkan töleg</t>
  </si>
  <si>
    <t>S88853e062e22</t>
  </si>
  <si>
    <t>Halyk Bank</t>
  </si>
  <si>
    <t>S4e3de48b0f3a</t>
  </si>
  <si>
    <t>Hubtel</t>
  </si>
  <si>
    <t>Sc6f881bfe8f5</t>
  </si>
  <si>
    <t>Ininal</t>
  </si>
  <si>
    <t>Sbd194199fe09</t>
  </si>
  <si>
    <t>Interac</t>
  </si>
  <si>
    <t>Sf2bcbe5abd94</t>
  </si>
  <si>
    <t>Isracard</t>
  </si>
  <si>
    <t>Sa0b41fabd1f4</t>
  </si>
  <si>
    <t>JazzCash</t>
  </si>
  <si>
    <t>Sb0c9e4b4309e</t>
  </si>
  <si>
    <t>JkoPay</t>
  </si>
  <si>
    <t>Sc92ee581fa42</t>
  </si>
  <si>
    <t>KBZ Pay</t>
  </si>
  <si>
    <t>Sc43969a3bafd</t>
  </si>
  <si>
    <t>KNET</t>
  </si>
  <si>
    <t>Sc4987750ae1c</t>
  </si>
  <si>
    <t>KakaoPay</t>
  </si>
  <si>
    <t>S355387169087</t>
  </si>
  <si>
    <t>Kaspi.kz</t>
  </si>
  <si>
    <t>S888804c60126</t>
  </si>
  <si>
    <t>Khipu</t>
  </si>
  <si>
    <t>S8bb8de8cc73e</t>
  </si>
  <si>
    <t>Kushki</t>
  </si>
  <si>
    <t>Sf2f6a0188995</t>
  </si>
  <si>
    <t>Loop</t>
  </si>
  <si>
    <t>S5a28fa1fccb6</t>
  </si>
  <si>
    <t>Lydia</t>
  </si>
  <si>
    <t>S721a27a1aa5e</t>
  </si>
  <si>
    <t>M-Birr</t>
  </si>
  <si>
    <t>Sa70a35b72c22</t>
  </si>
  <si>
    <t>MB Way</t>
  </si>
  <si>
    <t>S81b0fd1b771e</t>
  </si>
  <si>
    <t>Macau Pass</t>
  </si>
  <si>
    <t>S42fa0795c14e</t>
  </si>
  <si>
    <t>MiDinero</t>
  </si>
  <si>
    <t>Sab5445957d32</t>
  </si>
  <si>
    <t>Mobilly</t>
  </si>
  <si>
    <t>S716188579105</t>
  </si>
  <si>
    <t>Moneda U</t>
  </si>
  <si>
    <t>S4a523f589732</t>
  </si>
  <si>
    <t>Moneta</t>
  </si>
  <si>
    <t>Sf465788dea89</t>
  </si>
  <si>
    <t>Moniepoint</t>
  </si>
  <si>
    <t>S9722e8c42d66</t>
  </si>
  <si>
    <t>Monobank</t>
  </si>
  <si>
    <t>S9656243ca723</t>
  </si>
  <si>
    <t>Movilnet</t>
  </si>
  <si>
    <t>Sb86ee665f29a</t>
  </si>
  <si>
    <t>N26</t>
  </si>
  <si>
    <t>S1eb67b986588</t>
  </si>
  <si>
    <t>Nagad</t>
  </si>
  <si>
    <t>Sb4047e184273</t>
  </si>
  <si>
    <t>Naranja X</t>
  </si>
  <si>
    <t>S7906b84d8f9d</t>
  </si>
  <si>
    <t>Naver Pay</t>
  </si>
  <si>
    <t>Sb059c7cc919f</t>
  </si>
  <si>
    <t>Nequi</t>
  </si>
  <si>
    <t>S24ef7ec7e764</t>
  </si>
  <si>
    <t>Nexi</t>
  </si>
  <si>
    <t>S0f07802df56d</t>
  </si>
  <si>
    <t>Niubiz</t>
  </si>
  <si>
    <t>S22f85bf6fa63</t>
  </si>
  <si>
    <t>Noon Pay</t>
  </si>
  <si>
    <t>S683e3175233e</t>
  </si>
  <si>
    <t>OVO</t>
  </si>
  <si>
    <t>Sa7c7b3a28a61</t>
  </si>
  <si>
    <t>Octopus</t>
  </si>
  <si>
    <t>S9b425f30fe38</t>
  </si>
  <si>
    <t>Oman Mobile Payment</t>
  </si>
  <si>
    <t>S0a364d6b3a0b</t>
  </si>
  <si>
    <t>Ongo</t>
  </si>
  <si>
    <t>S6de18e00d6b3</t>
  </si>
  <si>
    <t>Ooredoo Money</t>
  </si>
  <si>
    <t>Sb58ff996311b</t>
  </si>
  <si>
    <t>Oplata</t>
  </si>
  <si>
    <t>S1b57eeacfbd3</t>
  </si>
  <si>
    <t>PICHINCHA BANCA</t>
  </si>
  <si>
    <t>S41b0635bb279</t>
  </si>
  <si>
    <t>PIX</t>
  </si>
  <si>
    <t>S84287a10e6fb</t>
  </si>
  <si>
    <t>PUMB</t>
  </si>
  <si>
    <t>S46c79b38cace</t>
  </si>
  <si>
    <t>PagoEfectivo</t>
  </si>
  <si>
    <t>Sd2cb4f99541e</t>
  </si>
  <si>
    <t>Pay.ir</t>
  </si>
  <si>
    <t>Sd274d9c0228d</t>
  </si>
  <si>
    <t>PayCash</t>
  </si>
  <si>
    <t>Scc2cd9293700</t>
  </si>
  <si>
    <t>PayMaya</t>
  </si>
  <si>
    <t>S5c5af06729d3</t>
  </si>
  <si>
    <t>PayNow</t>
  </si>
  <si>
    <t>S4d54ee71b475</t>
  </si>
  <si>
    <t>PayPay</t>
  </si>
  <si>
    <t>S1b96cf56a09b</t>
  </si>
  <si>
    <t>Paybox</t>
  </si>
  <si>
    <t>S4fe05e7db04b</t>
  </si>
  <si>
    <t>Paylib</t>
  </si>
  <si>
    <t>Sf06f0269cf5d</t>
  </si>
  <si>
    <t>Payme</t>
  </si>
  <si>
    <t>Sfd6f7a606c5b</t>
  </si>
  <si>
    <t>Paysera</t>
  </si>
  <si>
    <t>S8421e6a3d5ee</t>
  </si>
  <si>
    <t>Paystack</t>
  </si>
  <si>
    <t>Sb2a940b2a2ea</t>
  </si>
  <si>
    <t>Paytm</t>
  </si>
  <si>
    <t>Sfe7479645397</t>
  </si>
  <si>
    <t>Personal Pay</t>
  </si>
  <si>
    <t>Seb46c4263e56</t>
  </si>
  <si>
    <t>PhonePe</t>
  </si>
  <si>
    <t>S4c6134be7015</t>
  </si>
  <si>
    <t>Pi Pay</t>
  </si>
  <si>
    <t>Safbffd978275</t>
  </si>
  <si>
    <t>PrivatBank</t>
  </si>
  <si>
    <t>S87bb80aa218c</t>
  </si>
  <si>
    <t>Qi Services</t>
  </si>
  <si>
    <t>S78832fd1d06f</t>
  </si>
  <si>
    <t>Qiwi</t>
  </si>
  <si>
    <t>S67799a5cdcb4</t>
  </si>
  <si>
    <t>Rabbit Line Pay</t>
  </si>
  <si>
    <t>S943d2ae40a1e</t>
  </si>
  <si>
    <t>Rakuten Pay</t>
  </si>
  <si>
    <t>S2cae73bdcb7c</t>
  </si>
  <si>
    <t>Really Pesa</t>
  </si>
  <si>
    <t>S9bd75a3fb14a</t>
  </si>
  <si>
    <t>Reflect</t>
  </si>
  <si>
    <t>Sd40a5aca994e</t>
  </si>
  <si>
    <t>Rocket</t>
  </si>
  <si>
    <t>S832c3b1ba488</t>
  </si>
  <si>
    <t>SEPA</t>
  </si>
  <si>
    <t>Sbc7ff7a28899</t>
  </si>
  <si>
    <t>STC Pay</t>
  </si>
  <si>
    <t>S4dc53e64465b</t>
  </si>
  <si>
    <t>Sampath e-Wallet</t>
  </si>
  <si>
    <t>S4a84d0c48b14</t>
  </si>
  <si>
    <t>Satispay</t>
  </si>
  <si>
    <t>S1bd7750deb16</t>
  </si>
  <si>
    <t>Shetab</t>
  </si>
  <si>
    <t>S3e68d4365d41</t>
  </si>
  <si>
    <t>Siirto</t>
  </si>
  <si>
    <t>S19ce229ca0ea</t>
  </si>
  <si>
    <t>SimplePay</t>
  </si>
  <si>
    <t>S712542eb0998</t>
  </si>
  <si>
    <t>SnapScan</t>
  </si>
  <si>
    <t>S02f195c0ad8e</t>
  </si>
  <si>
    <t>Sofort</t>
  </si>
  <si>
    <t>S1e73623015d3</t>
  </si>
  <si>
    <t>Swish</t>
  </si>
  <si>
    <t>Sb1a34ffcbfc3</t>
  </si>
  <si>
    <t>T-Kash</t>
  </si>
  <si>
    <t>S464d23b54f26</t>
  </si>
  <si>
    <t>Tap</t>
  </si>
  <si>
    <t>Sda053fa8064d</t>
  </si>
  <si>
    <t>Touch 'n Go</t>
  </si>
  <si>
    <t>Se2d8004648db</t>
  </si>
  <si>
    <t>Transbank</t>
  </si>
  <si>
    <t>S0e8f6fd2e105</t>
  </si>
  <si>
    <t>TransferGo</t>
  </si>
  <si>
    <t>Sb1b70335837f</t>
  </si>
  <si>
    <t>Transfermóvil</t>
  </si>
  <si>
    <t>S06780a7a437a</t>
  </si>
  <si>
    <t>TrueMoney</t>
  </si>
  <si>
    <t>Sa76287c409c4</t>
  </si>
  <si>
    <t>Ualá</t>
  </si>
  <si>
    <t>Sf926e95ae759</t>
  </si>
  <si>
    <t>UnionPay</t>
  </si>
  <si>
    <t>S6e23756c3c9b</t>
  </si>
  <si>
    <t>UzCard</t>
  </si>
  <si>
    <t>Sdc665e6c8a2c</t>
  </si>
  <si>
    <t>VIAMO</t>
  </si>
  <si>
    <t>S04dad77b6120</t>
  </si>
  <si>
    <t>Velmie</t>
  </si>
  <si>
    <t>Sa1593ecc5a13</t>
  </si>
  <si>
    <t>Venmo</t>
  </si>
  <si>
    <t>Saaabb660e287</t>
  </si>
  <si>
    <t>Vertex</t>
  </si>
  <si>
    <t>S556d78f4690a</t>
  </si>
  <si>
    <t>Viettel Pay</t>
  </si>
  <si>
    <t>S8c98ead1dc6f</t>
  </si>
  <si>
    <t>Vipps</t>
  </si>
  <si>
    <t>Sa725bda1f33e</t>
  </si>
  <si>
    <t>Visa</t>
  </si>
  <si>
    <t>Seff765f55a78</t>
  </si>
  <si>
    <t>Viva Wallet</t>
  </si>
  <si>
    <t>S6f21be3f4238</t>
  </si>
  <si>
    <t>Wafacash</t>
  </si>
  <si>
    <t>S819ffe68a604</t>
  </si>
  <si>
    <t>Wave Money</t>
  </si>
  <si>
    <t>S8e61bf5c793c</t>
  </si>
  <si>
    <t>WebMoney</t>
  </si>
  <si>
    <t>S722f7eba24a7</t>
  </si>
  <si>
    <t>WebPay</t>
  </si>
  <si>
    <t>Sc72302fe2fa0</t>
  </si>
  <si>
    <t>Wing Bank</t>
  </si>
  <si>
    <t>S560f89b4e57b</t>
  </si>
  <si>
    <t>Yape</t>
  </si>
  <si>
    <t>S2a2a83212153</t>
  </si>
  <si>
    <t>Yappy</t>
  </si>
  <si>
    <t>S94f173f4b39c</t>
  </si>
  <si>
    <t>ZAP</t>
  </si>
  <si>
    <t>Sfb4a70e1beb4</t>
  </si>
  <si>
    <t>ZaloPay</t>
  </si>
  <si>
    <t>S088cc9c6f49b</t>
  </si>
  <si>
    <t>Zapper</t>
  </si>
  <si>
    <t>S4497ba648fd9</t>
  </si>
  <si>
    <t>Zarinpal</t>
  </si>
  <si>
    <t>S81b959cfba68</t>
  </si>
  <si>
    <t>Zip Pay</t>
  </si>
  <si>
    <t>S5dbff7563966</t>
  </si>
  <si>
    <t>bKash</t>
  </si>
  <si>
    <t>S5a33d5fbfbc5</t>
  </si>
  <si>
    <t>bank BCR</t>
  </si>
  <si>
    <t>S1f12994d9b0c</t>
  </si>
  <si>
    <t>dLocal</t>
  </si>
  <si>
    <t>S99aa3e6c42cc</t>
  </si>
  <si>
    <t>e gov tm</t>
  </si>
  <si>
    <t>S4d8fcc240109</t>
  </si>
  <si>
    <t>ePay</t>
  </si>
  <si>
    <t>Sf54ab403ca1c</t>
  </si>
  <si>
    <t>iDEAL</t>
  </si>
  <si>
    <t>Sf63ecf4435b0</t>
  </si>
  <si>
    <t>myfawry</t>
  </si>
  <si>
    <t>S813979cbe3f6</t>
  </si>
  <si>
    <t>Çapar Pay</t>
  </si>
  <si>
    <t>Payment-service listings</t>
  </si>
  <si>
    <t>One row per source market and role. First mention = 1 only once for each market/service pair.</t>
  </si>
  <si>
    <t>Listing ID</t>
  </si>
  <si>
    <t>Market ID</t>
  </si>
  <si>
    <t>Market</t>
  </si>
  <si>
    <t>Listed role</t>
  </si>
  <si>
    <t>Website reference</t>
  </si>
  <si>
    <t>Original name</t>
  </si>
  <si>
    <t>First mention</t>
  </si>
  <si>
    <t>M001-1</t>
  </si>
  <si>
    <t>M001</t>
  </si>
  <si>
    <t>United States</t>
  </si>
  <si>
    <t>Primary</t>
  </si>
  <si>
    <t>https://apple.com/apple-pay</t>
  </si>
  <si>
    <t>M001-2</t>
  </si>
  <si>
    <t>https://pay.google.com</t>
  </si>
  <si>
    <t>M001-3</t>
  </si>
  <si>
    <t>https://paypal.com</t>
  </si>
  <si>
    <t>M002-1</t>
  </si>
  <si>
    <t>M002</t>
  </si>
  <si>
    <t>China</t>
  </si>
  <si>
    <t>https://alipay.com</t>
  </si>
  <si>
    <t>M002-2</t>
  </si>
  <si>
    <t>https://weixin.qq.com</t>
  </si>
  <si>
    <t>M002-3</t>
  </si>
  <si>
    <t>https://unionpayintl.com</t>
  </si>
  <si>
    <t>M003-1</t>
  </si>
  <si>
    <t>M003</t>
  </si>
  <si>
    <t>Germany</t>
  </si>
  <si>
    <t>M003-2</t>
  </si>
  <si>
    <t>https://klarna.com</t>
  </si>
  <si>
    <t>M003-3</t>
  </si>
  <si>
    <t>https://sofort.com</t>
  </si>
  <si>
    <t>M004-1</t>
  </si>
  <si>
    <t>M004</t>
  </si>
  <si>
    <t>Japan</t>
  </si>
  <si>
    <t>https://paypay.ne.jp</t>
  </si>
  <si>
    <t>M004-2</t>
  </si>
  <si>
    <t>https://pay.line.me</t>
  </si>
  <si>
    <t>M004-3</t>
  </si>
  <si>
    <t>https://rakuten.com</t>
  </si>
  <si>
    <t>M005-1</t>
  </si>
  <si>
    <t>M005</t>
  </si>
  <si>
    <t>https://phonepe.com</t>
  </si>
  <si>
    <t>M005-2</t>
  </si>
  <si>
    <t>M005-3</t>
  </si>
  <si>
    <t>https://paytm.com</t>
  </si>
  <si>
    <t>M006-1</t>
  </si>
  <si>
    <t>M006</t>
  </si>
  <si>
    <t>United Kingdom</t>
  </si>
  <si>
    <t>M006-2</t>
  </si>
  <si>
    <t>M006-3</t>
  </si>
  <si>
    <t>https://revolut.com</t>
  </si>
  <si>
    <t>M007-1</t>
  </si>
  <si>
    <t>M007</t>
  </si>
  <si>
    <t>France</t>
  </si>
  <si>
    <t>https://paylib.fr</t>
  </si>
  <si>
    <t>M007-2</t>
  </si>
  <si>
    <t>https://lydia-app.com</t>
  </si>
  <si>
    <t>M007-3</t>
  </si>
  <si>
    <t>M008-1</t>
  </si>
  <si>
    <t>M008</t>
  </si>
  <si>
    <t>Italy</t>
  </si>
  <si>
    <t>https://satispay.com</t>
  </si>
  <si>
    <t>M008-2</t>
  </si>
  <si>
    <t>https://nexi.it</t>
  </si>
  <si>
    <t>M008-3</t>
  </si>
  <si>
    <t>M009-1</t>
  </si>
  <si>
    <t>M009</t>
  </si>
  <si>
    <t>Canada</t>
  </si>
  <si>
    <t>https://interac.ca</t>
  </si>
  <si>
    <t>M009-2</t>
  </si>
  <si>
    <t>M009-3</t>
  </si>
  <si>
    <t>M010-1</t>
  </si>
  <si>
    <t>M010</t>
  </si>
  <si>
    <t>Brazil</t>
  </si>
  <si>
    <t>https://mercadopago.com.br</t>
  </si>
  <si>
    <t>M010-2</t>
  </si>
  <si>
    <t>https://mercadopago.com</t>
  </si>
  <si>
    <t>M010-3</t>
  </si>
  <si>
    <t>M011-1</t>
  </si>
  <si>
    <t>M011</t>
  </si>
  <si>
    <t>Russia</t>
  </si>
  <si>
    <t>https://yoomoney.ru</t>
  </si>
  <si>
    <t>M011-2</t>
  </si>
  <si>
    <t>https://qiwi.com</t>
  </si>
  <si>
    <t>M011-3</t>
  </si>
  <si>
    <t>https://webmoney.ru</t>
  </si>
  <si>
    <t>M012-1</t>
  </si>
  <si>
    <t>M012</t>
  </si>
  <si>
    <t>South Korea</t>
  </si>
  <si>
    <t>https://kakaopay.com</t>
  </si>
  <si>
    <t>M012-2</t>
  </si>
  <si>
    <t>https://samsung.com/samsung-pay</t>
  </si>
  <si>
    <t>M012-3</t>
  </si>
  <si>
    <t>https://naver.com</t>
  </si>
  <si>
    <t>M013-1</t>
  </si>
  <si>
    <t>M013</t>
  </si>
  <si>
    <t>Australia</t>
  </si>
  <si>
    <t>https://afterpay.com</t>
  </si>
  <si>
    <t>M013-2</t>
  </si>
  <si>
    <t>https://zip.co</t>
  </si>
  <si>
    <t>M013-3</t>
  </si>
  <si>
    <t>M014-1</t>
  </si>
  <si>
    <t>M014</t>
  </si>
  <si>
    <t>Spain</t>
  </si>
  <si>
    <t>https://bizum.es</t>
  </si>
  <si>
    <t>M014-2</t>
  </si>
  <si>
    <t>M014-3</t>
  </si>
  <si>
    <t>https://apple.com/apple-pay/</t>
  </si>
  <si>
    <t>M015-1</t>
  </si>
  <si>
    <t>M015</t>
  </si>
  <si>
    <t>Mexico</t>
  </si>
  <si>
    <t>M015-2</t>
  </si>
  <si>
    <t>M015-3</t>
  </si>
  <si>
    <t>M016-1</t>
  </si>
  <si>
    <t>M016</t>
  </si>
  <si>
    <t>Indonesia</t>
  </si>
  <si>
    <t>https://ovo.id</t>
  </si>
  <si>
    <t>M016-2</t>
  </si>
  <si>
    <t>https://gopay.co.id</t>
  </si>
  <si>
    <t>M016-3</t>
  </si>
  <si>
    <t>https://dana.id</t>
  </si>
  <si>
    <t>M017-1</t>
  </si>
  <si>
    <t>M017</t>
  </si>
  <si>
    <t>Turkey</t>
  </si>
  <si>
    <t>https://bkm.com.tr</t>
  </si>
  <si>
    <t>M017-2</t>
  </si>
  <si>
    <t>M017-3</t>
  </si>
  <si>
    <t>https://ininal.com</t>
  </si>
  <si>
    <t>M018-1</t>
  </si>
  <si>
    <t>M018</t>
  </si>
  <si>
    <t>Netherlands</t>
  </si>
  <si>
    <t>https://ideal.nl</t>
  </si>
  <si>
    <t>M018-2</t>
  </si>
  <si>
    <t>M018-3</t>
  </si>
  <si>
    <t>https://ecb.europa.eu</t>
  </si>
  <si>
    <t>M019-1</t>
  </si>
  <si>
    <t>M019</t>
  </si>
  <si>
    <t>Saudi Arabia</t>
  </si>
  <si>
    <t>https://stcpay.com.sa</t>
  </si>
  <si>
    <t>M019-2</t>
  </si>
  <si>
    <t>M019-3</t>
  </si>
  <si>
    <t>M020-1</t>
  </si>
  <si>
    <t>M020</t>
  </si>
  <si>
    <t>Switzerland</t>
  </si>
  <si>
    <t>https://twint.ch</t>
  </si>
  <si>
    <t>M020-2</t>
  </si>
  <si>
    <t>M020-3</t>
  </si>
  <si>
    <t>M021-1</t>
  </si>
  <si>
    <t>M021</t>
  </si>
  <si>
    <t>Poland</t>
  </si>
  <si>
    <t>https://blik.com</t>
  </si>
  <si>
    <t>M021-2</t>
  </si>
  <si>
    <t>M021-3</t>
  </si>
  <si>
    <t>https://payu.com</t>
  </si>
  <si>
    <t>M022-1</t>
  </si>
  <si>
    <t>M022</t>
  </si>
  <si>
    <t>Taiwan</t>
  </si>
  <si>
    <t>https://linepay.com</t>
  </si>
  <si>
    <t>Line Pay</t>
  </si>
  <si>
    <t>M022-2</t>
  </si>
  <si>
    <t>https://jkopay.com</t>
  </si>
  <si>
    <t>M022-3</t>
  </si>
  <si>
    <t>M023-1</t>
  </si>
  <si>
    <t>M023</t>
  </si>
  <si>
    <t>Belgium</t>
  </si>
  <si>
    <t>https://bancontact.com</t>
  </si>
  <si>
    <t>M023-2</t>
  </si>
  <si>
    <t>https://payconiq.com</t>
  </si>
  <si>
    <t>M023-3</t>
  </si>
  <si>
    <t>M024-1</t>
  </si>
  <si>
    <t>M024</t>
  </si>
  <si>
    <t>Sweden</t>
  </si>
  <si>
    <t>https://swish.nu</t>
  </si>
  <si>
    <t>M024-2</t>
  </si>
  <si>
    <t>M024-3</t>
  </si>
  <si>
    <t>M025-1</t>
  </si>
  <si>
    <t>M025</t>
  </si>
  <si>
    <t>Argentina</t>
  </si>
  <si>
    <t>M025-2</t>
  </si>
  <si>
    <t>https://naranjax.com</t>
  </si>
  <si>
    <t>M025-3</t>
  </si>
  <si>
    <t>https://uala.com</t>
  </si>
  <si>
    <t>M026-1</t>
  </si>
  <si>
    <t>M026</t>
  </si>
  <si>
    <t>Ireland</t>
  </si>
  <si>
    <t>M026-2</t>
  </si>
  <si>
    <t>M026-3</t>
  </si>
  <si>
    <t>https://n26.com</t>
  </si>
  <si>
    <t>M027-1</t>
  </si>
  <si>
    <t>M027</t>
  </si>
  <si>
    <t>United Arab Emirates</t>
  </si>
  <si>
    <t>M027-2</t>
  </si>
  <si>
    <t>M027-3</t>
  </si>
  <si>
    <t>https://noon.com</t>
  </si>
  <si>
    <t>M028-1</t>
  </si>
  <si>
    <t>M028</t>
  </si>
  <si>
    <t>Singapore</t>
  </si>
  <si>
    <t>https://grab.com</t>
  </si>
  <si>
    <t>M028-2</t>
  </si>
  <si>
    <t>https://abs.org.sg/consumer-banking/pay-now</t>
  </si>
  <si>
    <t>M028-3</t>
  </si>
  <si>
    <t>https://dbs.com.sg</t>
  </si>
  <si>
    <t>M029-1</t>
  </si>
  <si>
    <t>M029</t>
  </si>
  <si>
    <t>Austria</t>
  </si>
  <si>
    <t>https://mobilepay.dk</t>
  </si>
  <si>
    <t>Mobile Pay</t>
  </si>
  <si>
    <t>M029-2</t>
  </si>
  <si>
    <t>M029-3</t>
  </si>
  <si>
    <t>M030-1</t>
  </si>
  <si>
    <t>M030</t>
  </si>
  <si>
    <t>Israel</t>
  </si>
  <si>
    <t>https://payoneer.com</t>
  </si>
  <si>
    <t>M030-2</t>
  </si>
  <si>
    <t>https://bitpay.com</t>
  </si>
  <si>
    <t>M030-3</t>
  </si>
  <si>
    <t>https://isracard.co.il</t>
  </si>
  <si>
    <t>M031-1</t>
  </si>
  <si>
    <t>M031</t>
  </si>
  <si>
    <t>Thailand</t>
  </si>
  <si>
    <t>https://rabbit.co.th</t>
  </si>
  <si>
    <t>M031-2</t>
  </si>
  <si>
    <t>https://truemoney.com</t>
  </si>
  <si>
    <t>M031-3</t>
  </si>
  <si>
    <t>M032-1</t>
  </si>
  <si>
    <t>M032</t>
  </si>
  <si>
    <t>Philippines</t>
  </si>
  <si>
    <t>https://gcash.com</t>
  </si>
  <si>
    <t>M032-2</t>
  </si>
  <si>
    <t>https://paymaya.com</t>
  </si>
  <si>
    <t>M032-3</t>
  </si>
  <si>
    <t>M033-1</t>
  </si>
  <si>
    <t>M033</t>
  </si>
  <si>
    <t>Vietnam</t>
  </si>
  <si>
    <t>https://momo.vn</t>
  </si>
  <si>
    <t>M033-2</t>
  </si>
  <si>
    <t>https://zalopay.vn</t>
  </si>
  <si>
    <t>M033-3</t>
  </si>
  <si>
    <t>https://viettelpay.vn</t>
  </si>
  <si>
    <t>M034-1</t>
  </si>
  <si>
    <t>M034</t>
  </si>
  <si>
    <t>Norway</t>
  </si>
  <si>
    <t>https://vipps.no</t>
  </si>
  <si>
    <t>M034-2</t>
  </si>
  <si>
    <t>M034-3</t>
  </si>
  <si>
    <t>M035-1</t>
  </si>
  <si>
    <t>M035</t>
  </si>
  <si>
    <t>Malaysia</t>
  </si>
  <si>
    <t>https://touchngo.com.my</t>
  </si>
  <si>
    <t>M035-2</t>
  </si>
  <si>
    <t>https://cimb.com.my</t>
  </si>
  <si>
    <t>M035-3</t>
  </si>
  <si>
    <t>https://myboost.co/</t>
  </si>
  <si>
    <t>M036-1</t>
  </si>
  <si>
    <t>M036</t>
  </si>
  <si>
    <t>Iran</t>
  </si>
  <si>
    <t>https://shetab.com</t>
  </si>
  <si>
    <t>M036-2</t>
  </si>
  <si>
    <t>https://zarinpal.com</t>
  </si>
  <si>
    <t>M036-3</t>
  </si>
  <si>
    <t>https://pay.ir</t>
  </si>
  <si>
    <t>M037-1</t>
  </si>
  <si>
    <t>M037</t>
  </si>
  <si>
    <t>Bangladesh</t>
  </si>
  <si>
    <t>https://bkash.com</t>
  </si>
  <si>
    <t>M037-2</t>
  </si>
  <si>
    <t>https://nagad.com.bd</t>
  </si>
  <si>
    <t>M037-3</t>
  </si>
  <si>
    <t>https://dutchbanglabank.com</t>
  </si>
  <si>
    <t>M038-1</t>
  </si>
  <si>
    <t>M038</t>
  </si>
  <si>
    <t>Denmark</t>
  </si>
  <si>
    <t>M038-2</t>
  </si>
  <si>
    <t>M038-3</t>
  </si>
  <si>
    <t>Goggle Pay</t>
  </si>
  <si>
    <t>M039-1</t>
  </si>
  <si>
    <t>M039</t>
  </si>
  <si>
    <t>Hong Kong</t>
  </si>
  <si>
    <t>M039-2</t>
  </si>
  <si>
    <t>M039-3</t>
  </si>
  <si>
    <t>https://octopus.com.hk</t>
  </si>
  <si>
    <t>M040-1</t>
  </si>
  <si>
    <t>M040</t>
  </si>
  <si>
    <t>Colombia</t>
  </si>
  <si>
    <t>https://nequi.com.co</t>
  </si>
  <si>
    <t>M040-2</t>
  </si>
  <si>
    <t>https://daviplata.com</t>
  </si>
  <si>
    <t>M040-3</t>
  </si>
  <si>
    <t>https://bancolombia.com</t>
  </si>
  <si>
    <t>M041-1</t>
  </si>
  <si>
    <t>M041</t>
  </si>
  <si>
    <t>South Africa</t>
  </si>
  <si>
    <t>https://snapscan.co.za</t>
  </si>
  <si>
    <t>M041-2</t>
  </si>
  <si>
    <t>https://zapper.com</t>
  </si>
  <si>
    <t>M041-3</t>
  </si>
  <si>
    <t>M042-1</t>
  </si>
  <si>
    <t>M042</t>
  </si>
  <si>
    <t>Romania</t>
  </si>
  <si>
    <t>M042-2</t>
  </si>
  <si>
    <t>M042-3</t>
  </si>
  <si>
    <t>M043-1</t>
  </si>
  <si>
    <t>M043</t>
  </si>
  <si>
    <t>Egypt</t>
  </si>
  <si>
    <t>https://fawry.com</t>
  </si>
  <si>
    <t>M043-2</t>
  </si>
  <si>
    <t>M043-3</t>
  </si>
  <si>
    <t>https://aman.eg</t>
  </si>
  <si>
    <t>M044-1</t>
  </si>
  <si>
    <t>M044</t>
  </si>
  <si>
    <t>Pakistan</t>
  </si>
  <si>
    <t>https://jazzcash.com.pk</t>
  </si>
  <si>
    <t>M044-2</t>
  </si>
  <si>
    <t>https://easypaisa.com.pk</t>
  </si>
  <si>
    <t>M044-3</t>
  </si>
  <si>
    <t>M045-1</t>
  </si>
  <si>
    <t>M045</t>
  </si>
  <si>
    <t>Chile</t>
  </si>
  <si>
    <t>https://webpay.cl</t>
  </si>
  <si>
    <t>M045-2</t>
  </si>
  <si>
    <t>https://transbank.cl</t>
  </si>
  <si>
    <t>M045-3</t>
  </si>
  <si>
    <t>https://khipu.com</t>
  </si>
  <si>
    <t>M046-1</t>
  </si>
  <si>
    <t>M046</t>
  </si>
  <si>
    <t>Czech Republic</t>
  </si>
  <si>
    <t>M046-2</t>
  </si>
  <si>
    <t>M046-3</t>
  </si>
  <si>
    <t>M047-1</t>
  </si>
  <si>
    <t>M047</t>
  </si>
  <si>
    <t>Finland</t>
  </si>
  <si>
    <t>M047-2</t>
  </si>
  <si>
    <t>https://siirto.fi</t>
  </si>
  <si>
    <t>M047-3</t>
  </si>
  <si>
    <t>M048-1</t>
  </si>
  <si>
    <t>M048</t>
  </si>
  <si>
    <t>Portugal</t>
  </si>
  <si>
    <t>https://mbway.pt</t>
  </si>
  <si>
    <t>M048-2</t>
  </si>
  <si>
    <t>M048-3</t>
  </si>
  <si>
    <t>M049-1</t>
  </si>
  <si>
    <t>M049</t>
  </si>
  <si>
    <t>Hungary</t>
  </si>
  <si>
    <t>https://simplepay.com</t>
  </si>
  <si>
    <t>M049-2</t>
  </si>
  <si>
    <t>https://barion.com</t>
  </si>
  <si>
    <t>M049-3</t>
  </si>
  <si>
    <t>M050-1</t>
  </si>
  <si>
    <t>M050</t>
  </si>
  <si>
    <t>Kazakhstan</t>
  </si>
  <si>
    <t>https://kaspi.kz</t>
  </si>
  <si>
    <t>M050-2</t>
  </si>
  <si>
    <t>https://halykbank.kz</t>
  </si>
  <si>
    <t>M050-3</t>
  </si>
  <si>
    <t>https://paybox.ru</t>
  </si>
  <si>
    <t>M051-1</t>
  </si>
  <si>
    <t>M051</t>
  </si>
  <si>
    <t>Peru</t>
  </si>
  <si>
    <t>https://yape.com.pe</t>
  </si>
  <si>
    <t>M051-2</t>
  </si>
  <si>
    <t>https://www.pichincha.com/banca-movil</t>
  </si>
  <si>
    <t>M051-3</t>
  </si>
  <si>
    <t>https://niubiz.com.pe</t>
  </si>
  <si>
    <t>M052-1</t>
  </si>
  <si>
    <t>M052</t>
  </si>
  <si>
    <t>Iraq</t>
  </si>
  <si>
    <t>https://zaincash.iq</t>
  </si>
  <si>
    <t>M052-2</t>
  </si>
  <si>
    <t>https://qi.iq/en/digital-zone</t>
  </si>
  <si>
    <t>M052-3</t>
  </si>
  <si>
    <t>https://fast-pay.iq</t>
  </si>
  <si>
    <t>M053-1</t>
  </si>
  <si>
    <t>M053</t>
  </si>
  <si>
    <t>Greece</t>
  </si>
  <si>
    <t>https://vivawallet.com</t>
  </si>
  <si>
    <t>M053-2</t>
  </si>
  <si>
    <t>Paypal</t>
  </si>
  <si>
    <t>M053-3</t>
  </si>
  <si>
    <t>M054-1</t>
  </si>
  <si>
    <t>M054</t>
  </si>
  <si>
    <t>Algeria</t>
  </si>
  <si>
    <t>https://albaridbank.ma/fr/nos-solutions/barid-bank-mobile</t>
  </si>
  <si>
    <t>M054-2</t>
  </si>
  <si>
    <t>https://cibeg.com</t>
  </si>
  <si>
    <t>M054-3</t>
  </si>
  <si>
    <t>https://cashaddress.org</t>
  </si>
  <si>
    <t>M055-1</t>
  </si>
  <si>
    <t>M055</t>
  </si>
  <si>
    <t>New Zealand</t>
  </si>
  <si>
    <t>M055-2</t>
  </si>
  <si>
    <t>M055-3</t>
  </si>
  <si>
    <t>M056-1</t>
  </si>
  <si>
    <t>M056</t>
  </si>
  <si>
    <t>Qatar</t>
  </si>
  <si>
    <t>https://ooredoo.qa/web/en/ooredoo-money/</t>
  </si>
  <si>
    <t>M056-2</t>
  </si>
  <si>
    <t>https://binance.com</t>
  </si>
  <si>
    <t>M056-3</t>
  </si>
  <si>
    <t>https://cbq.qa</t>
  </si>
  <si>
    <t>M057-1</t>
  </si>
  <si>
    <t>M057</t>
  </si>
  <si>
    <t>Ethiopia</t>
  </si>
  <si>
    <t>https://m-birr.com</t>
  </si>
  <si>
    <t>M057-2</t>
  </si>
  <si>
    <t>M057-3</t>
  </si>
  <si>
    <t>https://dashenbanksc.com/amole-payment-services/</t>
  </si>
  <si>
    <t>M058-1</t>
  </si>
  <si>
    <t>M058</t>
  </si>
  <si>
    <t>Nigeria</t>
  </si>
  <si>
    <t>https://paystack.com</t>
  </si>
  <si>
    <t>M058-2</t>
  </si>
  <si>
    <t>https://flutterwave.com</t>
  </si>
  <si>
    <t>M058-3</t>
  </si>
  <si>
    <t>https://moniepoint.com</t>
  </si>
  <si>
    <t>M059-1</t>
  </si>
  <si>
    <t>M059</t>
  </si>
  <si>
    <t>Ukraine</t>
  </si>
  <si>
    <t>https://privatbank.ua</t>
  </si>
  <si>
    <t>M059-2</t>
  </si>
  <si>
    <t>https://monobank.ua</t>
  </si>
  <si>
    <t>M059-3</t>
  </si>
  <si>
    <t>https://pumb.ua</t>
  </si>
  <si>
    <t>M060-1</t>
  </si>
  <si>
    <t>M060</t>
  </si>
  <si>
    <t>Morocco</t>
  </si>
  <si>
    <t>https://wafacash.com</t>
  </si>
  <si>
    <t>M060-2</t>
  </si>
  <si>
    <t>https://cihbank.ma</t>
  </si>
  <si>
    <t>M060-3</t>
  </si>
  <si>
    <t>https://cashplus.ma</t>
  </si>
  <si>
    <t>M061-1</t>
  </si>
  <si>
    <t>M061</t>
  </si>
  <si>
    <t>Kuwait</t>
  </si>
  <si>
    <t>https://knet.com.kw</t>
  </si>
  <si>
    <t>M061-2</t>
  </si>
  <si>
    <t>M061-3</t>
  </si>
  <si>
    <t>M062-1</t>
  </si>
  <si>
    <t>M062</t>
  </si>
  <si>
    <t>Cuba</t>
  </si>
  <si>
    <t>https://etecsa.cu/en/entrepreneurs/transfermovil</t>
  </si>
  <si>
    <t>M062-2</t>
  </si>
  <si>
    <t>https://www.enzona.net</t>
  </si>
  <si>
    <t>M062-3</t>
  </si>
  <si>
    <t>https://somosmoneda.app</t>
  </si>
  <si>
    <t>M063-1</t>
  </si>
  <si>
    <t>M063</t>
  </si>
  <si>
    <t>Slovakia</t>
  </si>
  <si>
    <t>https://viamo.io</t>
  </si>
  <si>
    <t>M063-2</t>
  </si>
  <si>
    <t>M063-3</t>
  </si>
  <si>
    <t>M064-1</t>
  </si>
  <si>
    <t>M064</t>
  </si>
  <si>
    <t>Dominican Republic</t>
  </si>
  <si>
    <t>https://orange.com</t>
  </si>
  <si>
    <t>M064-2</t>
  </si>
  <si>
    <t>https://billet.do/</t>
  </si>
  <si>
    <t>M064-3</t>
  </si>
  <si>
    <t>M065-1</t>
  </si>
  <si>
    <t>M065</t>
  </si>
  <si>
    <t>Uzbekistan</t>
  </si>
  <si>
    <t>https://click.uz</t>
  </si>
  <si>
    <t>M065-2</t>
  </si>
  <si>
    <t>https://payme.uz</t>
  </si>
  <si>
    <t>M065-3</t>
  </si>
  <si>
    <t>https://uzcard.uz</t>
  </si>
  <si>
    <t>M066-1</t>
  </si>
  <si>
    <t>M066</t>
  </si>
  <si>
    <t>Bulgaria</t>
  </si>
  <si>
    <t>https://epay.com</t>
  </si>
  <si>
    <t>M066-2</t>
  </si>
  <si>
    <t>M066-3</t>
  </si>
  <si>
    <t>https://easypay.ua</t>
  </si>
  <si>
    <t>M067-1</t>
  </si>
  <si>
    <t>M067</t>
  </si>
  <si>
    <t>Ecuador</t>
  </si>
  <si>
    <t>https://kushkipagos.com</t>
  </si>
  <si>
    <t>M067-2</t>
  </si>
  <si>
    <t>https://pichincha.com</t>
  </si>
  <si>
    <t>M067-3</t>
  </si>
  <si>
    <t>M068-1</t>
  </si>
  <si>
    <t>M068</t>
  </si>
  <si>
    <t>Puerto Rico</t>
  </si>
  <si>
    <t>https://athmovil.com</t>
  </si>
  <si>
    <t>M068-2</t>
  </si>
  <si>
    <t>M068-3</t>
  </si>
  <si>
    <t>https://venmo.com</t>
  </si>
  <si>
    <t>M069-1</t>
  </si>
  <si>
    <t>M069</t>
  </si>
  <si>
    <t>Kenya</t>
  </si>
  <si>
    <t>https://mpesa.com</t>
  </si>
  <si>
    <t>M069-2</t>
  </si>
  <si>
    <t>https://loop.co.ke</t>
  </si>
  <si>
    <t>M069-3</t>
  </si>
  <si>
    <t>https://telkom.co.ke/</t>
  </si>
  <si>
    <t>M070-1</t>
  </si>
  <si>
    <t>M070</t>
  </si>
  <si>
    <t>Angola</t>
  </si>
  <si>
    <t>https://zap.com</t>
  </si>
  <si>
    <t>M070-2</t>
  </si>
  <si>
    <t>https://easypay.com</t>
  </si>
  <si>
    <t>M070-3</t>
  </si>
  <si>
    <t>M071-1</t>
  </si>
  <si>
    <t>M071</t>
  </si>
  <si>
    <t>Guatemala</t>
  </si>
  <si>
    <t>M071-2</t>
  </si>
  <si>
    <t>https://banrural.com.gt</t>
  </si>
  <si>
    <t>M071-3</t>
  </si>
  <si>
    <t>https://midinero.com.uy</t>
  </si>
  <si>
    <t>M072-1</t>
  </si>
  <si>
    <t>M072</t>
  </si>
  <si>
    <t>Oman</t>
  </si>
  <si>
    <t>https://omantel.om</t>
  </si>
  <si>
    <t>M072-2</t>
  </si>
  <si>
    <t>https://paycash.com</t>
  </si>
  <si>
    <t>M072-3</t>
  </si>
  <si>
    <t>https://bankmuscat.com</t>
  </si>
  <si>
    <t>M073-1</t>
  </si>
  <si>
    <t>M073</t>
  </si>
  <si>
    <t>Venezuela</t>
  </si>
  <si>
    <t>https://movilnet.net</t>
  </si>
  <si>
    <t>M073-2</t>
  </si>
  <si>
    <t>https://bancodevenezuela.com</t>
  </si>
  <si>
    <t>M073-3</t>
  </si>
  <si>
    <t>M074-1</t>
  </si>
  <si>
    <t>M074</t>
  </si>
  <si>
    <t>Costa Rica</t>
  </si>
  <si>
    <t>https://bcr.ro</t>
  </si>
  <si>
    <t>M074-2</t>
  </si>
  <si>
    <t>https://baccredomatic.com</t>
  </si>
  <si>
    <t>M074-3</t>
  </si>
  <si>
    <t>M075-1</t>
  </si>
  <si>
    <t>M075</t>
  </si>
  <si>
    <t>Luxembourg</t>
  </si>
  <si>
    <t>M075-2</t>
  </si>
  <si>
    <t>M075-3</t>
  </si>
  <si>
    <t>Twint</t>
  </si>
  <si>
    <t>M076-1</t>
  </si>
  <si>
    <t>M076</t>
  </si>
  <si>
    <t>Croatia</t>
  </si>
  <si>
    <t>https://aircash.eu</t>
  </si>
  <si>
    <t>M076-2</t>
  </si>
  <si>
    <t>M076-3</t>
  </si>
  <si>
    <t>https://vertexinc.com</t>
  </si>
  <si>
    <t>M077-1</t>
  </si>
  <si>
    <t>M077</t>
  </si>
  <si>
    <t>Panama</t>
  </si>
  <si>
    <t>https://www.yappy.com.pa</t>
  </si>
  <si>
    <t>M077-2</t>
  </si>
  <si>
    <t>M077-3</t>
  </si>
  <si>
    <t>https://banistmo.com</t>
  </si>
  <si>
    <t>M078-1</t>
  </si>
  <si>
    <t>M078</t>
  </si>
  <si>
    <t>Ivory Coast</t>
  </si>
  <si>
    <t>M078-2</t>
  </si>
  <si>
    <t>https://momo.mtn.com</t>
  </si>
  <si>
    <t>M078-3</t>
  </si>
  <si>
    <t>M079-1</t>
  </si>
  <si>
    <t>M079</t>
  </si>
  <si>
    <t>Sri Lanka</t>
  </si>
  <si>
    <t>https://dialog.lk</t>
  </si>
  <si>
    <t>M079-2</t>
  </si>
  <si>
    <t>https://sampath.lk</t>
  </si>
  <si>
    <t>M079-3</t>
  </si>
  <si>
    <t>M080-1</t>
  </si>
  <si>
    <t>M080</t>
  </si>
  <si>
    <t>Turkmenistan</t>
  </si>
  <si>
    <t>https://post.tm/</t>
  </si>
  <si>
    <t>M080-2</t>
  </si>
  <si>
    <t>https://asuda.gov.tm</t>
  </si>
  <si>
    <t>M080-3</t>
  </si>
  <si>
    <t>https://e.gov.tm</t>
  </si>
  <si>
    <t>M081-1</t>
  </si>
  <si>
    <t>M081</t>
  </si>
  <si>
    <t>Lithuania</t>
  </si>
  <si>
    <t>https://paysera.com</t>
  </si>
  <si>
    <t>M081-2</t>
  </si>
  <si>
    <t>M081-3</t>
  </si>
  <si>
    <t>https://transfergo.com</t>
  </si>
  <si>
    <t>M082-1</t>
  </si>
  <si>
    <t>M082</t>
  </si>
  <si>
    <t>Uruguay</t>
  </si>
  <si>
    <t>https://dlocal.com</t>
  </si>
  <si>
    <t>M082-2</t>
  </si>
  <si>
    <t>M082-3</t>
  </si>
  <si>
    <t>https://abitab.com.uy</t>
  </si>
  <si>
    <t>M083-1</t>
  </si>
  <si>
    <t>M083</t>
  </si>
  <si>
    <t>Serbia</t>
  </si>
  <si>
    <t>https://dinersclub.com</t>
  </si>
  <si>
    <t>M083-2</t>
  </si>
  <si>
    <t>M083-3</t>
  </si>
  <si>
    <t>M084-1</t>
  </si>
  <si>
    <t>M084</t>
  </si>
  <si>
    <t>Tanzania</t>
  </si>
  <si>
    <t>M084-2</t>
  </si>
  <si>
    <t>https://pesa.co</t>
  </si>
  <si>
    <t>M084-3</t>
  </si>
  <si>
    <t>https://vodacom.co.tz</t>
  </si>
  <si>
    <t>M085-1</t>
  </si>
  <si>
    <t>M085</t>
  </si>
  <si>
    <t>Azerbaijan</t>
  </si>
  <si>
    <t>https://anipay.az</t>
  </si>
  <si>
    <t>M085-2</t>
  </si>
  <si>
    <t>M085-3</t>
  </si>
  <si>
    <t>https://azericard.com</t>
  </si>
  <si>
    <t>M086-1</t>
  </si>
  <si>
    <t>M086</t>
  </si>
  <si>
    <t>Ghana</t>
  </si>
  <si>
    <t>M086-2</t>
  </si>
  <si>
    <t>https://hubtel.com</t>
  </si>
  <si>
    <t>M086-3</t>
  </si>
  <si>
    <t>https://airteltigo.com.gh</t>
  </si>
  <si>
    <t>M087-1</t>
  </si>
  <si>
    <t>M087</t>
  </si>
  <si>
    <t>Slovenia</t>
  </si>
  <si>
    <t>https://moneta.ru</t>
  </si>
  <si>
    <t>M087-2</t>
  </si>
  <si>
    <t>M087-3</t>
  </si>
  <si>
    <t>https://wallet.google/intl/</t>
  </si>
  <si>
    <t>Google wallet</t>
  </si>
  <si>
    <t>M088-1</t>
  </si>
  <si>
    <t>M088</t>
  </si>
  <si>
    <t>Belarus</t>
  </si>
  <si>
    <t>https://belkart.by</t>
  </si>
  <si>
    <t>M088-2</t>
  </si>
  <si>
    <t>M088-3</t>
  </si>
  <si>
    <t>https://bank.yandex.ru/pay</t>
  </si>
  <si>
    <t>M089-1</t>
  </si>
  <si>
    <t>M089</t>
  </si>
  <si>
    <t>DR Congo</t>
  </si>
  <si>
    <t>M089-2</t>
  </si>
  <si>
    <t>M089-3</t>
  </si>
  <si>
    <t>https://velmie.com</t>
  </si>
  <si>
    <t>M090-1</t>
  </si>
  <si>
    <t>M090</t>
  </si>
  <si>
    <t>Myanmar</t>
  </si>
  <si>
    <t>https://wavemoney.com.mm</t>
  </si>
  <si>
    <t>M090-2</t>
  </si>
  <si>
    <t>https://ongo.com.mm</t>
  </si>
  <si>
    <t>M090-3</t>
  </si>
  <si>
    <t>https://kbzpay.com</t>
  </si>
  <si>
    <t>M091-1</t>
  </si>
  <si>
    <t>M091</t>
  </si>
  <si>
    <t>Uganda</t>
  </si>
  <si>
    <t>M091-2</t>
  </si>
  <si>
    <t>https://airtel.co.ug</t>
  </si>
  <si>
    <t>M091-3</t>
  </si>
  <si>
    <t>M092-1</t>
  </si>
  <si>
    <t>M092</t>
  </si>
  <si>
    <t>Macau</t>
  </si>
  <si>
    <t>https://macaupass.com</t>
  </si>
  <si>
    <t>M092-2</t>
  </si>
  <si>
    <t>M092-3</t>
  </si>
  <si>
    <t>https://pay.wechat.com</t>
  </si>
  <si>
    <t>M093-1</t>
  </si>
  <si>
    <t>M093</t>
  </si>
  <si>
    <t>Cameroon</t>
  </si>
  <si>
    <t>M093-2</t>
  </si>
  <si>
    <t>M093-3</t>
  </si>
  <si>
    <t>M094-1</t>
  </si>
  <si>
    <t>M094</t>
  </si>
  <si>
    <t>Jordan</t>
  </si>
  <si>
    <t>M094-2</t>
  </si>
  <si>
    <t>https://pal.reflectapp.com</t>
  </si>
  <si>
    <t>M094-3</t>
  </si>
  <si>
    <t>https://anypay.co.th</t>
  </si>
  <si>
    <t>M095-1</t>
  </si>
  <si>
    <t>M095</t>
  </si>
  <si>
    <t>Tunisia</t>
  </si>
  <si>
    <t>https://play.google.com/store/apps/details?id=com.kaoun.flouci&amp;hl=en</t>
  </si>
  <si>
    <t>M095-2</t>
  </si>
  <si>
    <t>M095-3</t>
  </si>
  <si>
    <t>M096-1</t>
  </si>
  <si>
    <t>M096</t>
  </si>
  <si>
    <t>Cambodia</t>
  </si>
  <si>
    <t>https://pipay.com</t>
  </si>
  <si>
    <t>M096-2</t>
  </si>
  <si>
    <t>https://ababank.com</t>
  </si>
  <si>
    <t>M096-3</t>
  </si>
  <si>
    <t>https://wingbank.com.kh</t>
  </si>
  <si>
    <t>M097-1</t>
  </si>
  <si>
    <t>M097</t>
  </si>
  <si>
    <t>Bolivia</t>
  </si>
  <si>
    <t>https://tigomoney.com</t>
  </si>
  <si>
    <t>M097-2</t>
  </si>
  <si>
    <t>https://pagoefectivo.pe</t>
  </si>
  <si>
    <t>M097-3</t>
  </si>
  <si>
    <t>M098-1</t>
  </si>
  <si>
    <t>M098</t>
  </si>
  <si>
    <t>Bahrain</t>
  </si>
  <si>
    <t>https://benefit.bh</t>
  </si>
  <si>
    <t>M098-2</t>
  </si>
  <si>
    <t>M098-3</t>
  </si>
  <si>
    <t>https://tap.company</t>
  </si>
  <si>
    <t>M099-1</t>
  </si>
  <si>
    <t>M099</t>
  </si>
  <si>
    <t>Latvia</t>
  </si>
  <si>
    <t>https://swedbank.com</t>
  </si>
  <si>
    <t>M099-2</t>
  </si>
  <si>
    <t>M099-3</t>
  </si>
  <si>
    <t>M100-1</t>
  </si>
  <si>
    <t>M100</t>
  </si>
  <si>
    <t>Paraguay</t>
  </si>
  <si>
    <t>https://tigo money</t>
  </si>
  <si>
    <t>M100-2</t>
  </si>
  <si>
    <t>https://personalpay.com</t>
  </si>
  <si>
    <t>M100-3</t>
  </si>
  <si>
    <t>https://visa.com</t>
  </si>
  <si>
    <t>Market research records</t>
  </si>
  <si>
    <t>Source: original project CSV. Market-share evidence has not been supplied. Input fields for evidence are shaded amber.</t>
  </si>
  <si>
    <t>https://github.com/Aditya-6446/Ecommerce_Payments_Analysis/blob/main/Test.csv</t>
  </si>
  <si>
    <t>Original share (unverified)</t>
  </si>
  <si>
    <t>Share source URL</t>
  </si>
  <si>
    <t>Observation period</t>
  </si>
  <si>
    <t>Share definition</t>
  </si>
  <si>
    <t>Unverified</t>
  </si>
  <si>
    <t>Original dataset</t>
  </si>
  <si>
    <t>Source: original project CSV. The original percentage values are preserved as typed percentages. Website and review references are unverified.</t>
  </si>
  <si>
    <t>Country</t>
  </si>
  <si>
    <t>App Name</t>
  </si>
  <si>
    <t>Market Share</t>
  </si>
  <si>
    <t>App Website Link</t>
  </si>
  <si>
    <t>App Review Link</t>
  </si>
  <si>
    <t>App Screenshot Link</t>
  </si>
  <si>
    <t>Alternate1 Name</t>
  </si>
  <si>
    <t>Alternate1 Website</t>
  </si>
  <si>
    <t>Alternate1 Review</t>
  </si>
  <si>
    <t>Alternate1 Screenshot</t>
  </si>
  <si>
    <t>Alternate2 Name</t>
  </si>
  <si>
    <t>Alternate2 Website</t>
  </si>
  <si>
    <t>Alternate2 Review</t>
  </si>
  <si>
    <t>Alternate2 Screenshot</t>
  </si>
  <si>
    <t>apple.com/apple-pay</t>
  </si>
  <si>
    <t>https://www.pcmag.com/reviews/apple-pay</t>
  </si>
  <si>
    <t>https://ibb.co/gTyz7dQ</t>
  </si>
  <si>
    <t>pay.google.com</t>
  </si>
  <si>
    <t>https://www.pcmag.com/reviews/google-pay</t>
  </si>
  <si>
    <t>https://ibb.co/bK79xby</t>
  </si>
  <si>
    <t>paypal.com</t>
  </si>
  <si>
    <t>https://www.cnet.com/reviews/paypal-review/</t>
  </si>
  <si>
    <t>https://ibb.co/JxbrsQ1</t>
  </si>
  <si>
    <t>alipay.com</t>
  </si>
  <si>
    <t>https://www.rapyd.net/blog/what-is-alipay/</t>
  </si>
  <si>
    <t>https://ibb.co/ysHqJN4</t>
  </si>
  <si>
    <t>weixin.qq.com</t>
  </si>
  <si>
    <t>https://www.weareplanet.com/blog/wechat-pay</t>
  </si>
  <si>
    <t>https://ibb.co/Qk6Z7mw</t>
  </si>
  <si>
    <t>unionpayintl.com</t>
  </si>
  <si>
    <t>https://www.trustpilot.com/review/unionpayintl.com</t>
  </si>
  <si>
    <t>https://ibb.co/s1VmBC7</t>
  </si>
  <si>
    <t>klarna.com</t>
  </si>
  <si>
    <t>https://www.trustpilot.com/review/klarna.com</t>
  </si>
  <si>
    <t>https://ibb.co/0F1XnJ8</t>
  </si>
  <si>
    <t>sofort.com</t>
  </si>
  <si>
    <t>https://www.trustpilot.com/review/sofort.com</t>
  </si>
  <si>
    <t>https://ibb.co/pWKHfvh</t>
  </si>
  <si>
    <t>paypay.ne.jp</t>
  </si>
  <si>
    <t>https://www.g2.com/products/paypay/reviews</t>
  </si>
  <si>
    <t>https://ibb.co/v1Xgpvs</t>
  </si>
  <si>
    <t>pay.line.me</t>
  </si>
  <si>
    <t>https://www.trustpilot.com/review/linepay.fun</t>
  </si>
  <si>
    <t>https://ibb.co/hW2py4P</t>
  </si>
  <si>
    <t>rakuten.com</t>
  </si>
  <si>
    <t>https://www.trustpilot.com/review/www.rakuten.com</t>
  </si>
  <si>
    <t>https://ibb.co/whfG4z9</t>
  </si>
  <si>
    <t>phonepe.com</t>
  </si>
  <si>
    <t>https://www.trustpilot.com/review/phonepe.com</t>
  </si>
  <si>
    <t>https://ibb.co/YfdMZjP</t>
  </si>
  <si>
    <t>paytm.com</t>
  </si>
  <si>
    <t>https://www.trustradius.com/products/paytm/reviews</t>
  </si>
  <si>
    <t>https://ibb.co/rmv6qP7</t>
  </si>
  <si>
    <t>revolut.com</t>
  </si>
  <si>
    <t>https://www.trustpilot.com/review/www.revolut.com</t>
  </si>
  <si>
    <t>https://ibb.co/w69Nf7j</t>
  </si>
  <si>
    <t>paylib.fr</t>
  </si>
  <si>
    <t>https://www.capterra.in/software/209162/paylib</t>
  </si>
  <si>
    <t>https://ibb.co/y5vd2g2</t>
  </si>
  <si>
    <t>lydia-app.com</t>
  </si>
  <si>
    <t>https://www.trustpilot.com/review/sumeria.eu?page=8</t>
  </si>
  <si>
    <t>https://ibb.co/ZmKrjsd</t>
  </si>
  <si>
    <t>satispay.com</t>
  </si>
  <si>
    <t>https://www.capterra.com/p/180716/Satispay/</t>
  </si>
  <si>
    <t>https://ibb.co/5TRdXzx</t>
  </si>
  <si>
    <t>nexi.it</t>
  </si>
  <si>
    <t>https://www.trustpilot.com/review/www.nexi.it</t>
  </si>
  <si>
    <t>https://ibb.co/hfv5mB7</t>
  </si>
  <si>
    <t>interac.ca</t>
  </si>
  <si>
    <t>https://ca.trustpilot.com/review/interac.ca</t>
  </si>
  <si>
    <t>https://ibb.co/WHXg50m</t>
  </si>
  <si>
    <t>mercadopago.com.br</t>
  </si>
  <si>
    <t>https://www.trustpilot.com/review/www.mercadopago.com.br</t>
  </si>
  <si>
    <t>https://ibb.co/TKGxSkP</t>
  </si>
  <si>
    <t>mercadopago.com</t>
  </si>
  <si>
    <t>https://www.capterra.com/p/250909/Mercado-Pago/reviews/</t>
  </si>
  <si>
    <t>https://ibb.co/ngttbxg</t>
  </si>
  <si>
    <t>yoomoney.ru</t>
  </si>
  <si>
    <t>https://ghanasoccernet.com/in/payment-system-review/yandex-money-payment-system-review/</t>
  </si>
  <si>
    <t>https://ibb.co/2WxV2yw</t>
  </si>
  <si>
    <t>qiwi.com</t>
  </si>
  <si>
    <t>https://www.trustpilot.com/review/qiwi.com</t>
  </si>
  <si>
    <t>https://ibb.co/yRs9fwW</t>
  </si>
  <si>
    <t>webmoney.ru</t>
  </si>
  <si>
    <t>https://www.trustfinance.com/companies/web-money</t>
  </si>
  <si>
    <t>https://ibb.co/cr3KgLC</t>
  </si>
  <si>
    <t>kakaopay.com</t>
  </si>
  <si>
    <t>https://www.capterra.in/software/1016162/kakao-pay</t>
  </si>
  <si>
    <t>https://ibb.co/Dpnnn08</t>
  </si>
  <si>
    <t>samsung.com/samsung-pay</t>
  </si>
  <si>
    <t>https://www.capterra.in/reviews/213917/samsung-pay#:~:text=The%20interface%20is%20good%2C%20simple,a%20great%20option%20to%20value.</t>
  </si>
  <si>
    <t>https://ibb.co/bW78MJm</t>
  </si>
  <si>
    <t>naver.com</t>
  </si>
  <si>
    <t>https://www.koreatimes.co.kr/www/biz/2025/01/602_297251.html</t>
  </si>
  <si>
    <t>https://ibb.co/ThR2wFH</t>
  </si>
  <si>
    <t>afterpay.com</t>
  </si>
  <si>
    <t>https://www.capterra.in/reviews/1012480/afterpay</t>
  </si>
  <si>
    <t>https://ibb.co/2KR5YTV</t>
  </si>
  <si>
    <t>zip.co</t>
  </si>
  <si>
    <t>https://au.trustpilot.com/review/zippay.com.au</t>
  </si>
  <si>
    <t>https://ibb.co/X43h4JL</t>
  </si>
  <si>
    <t>bizum.es</t>
  </si>
  <si>
    <t>https://ca.trustpilot.com/review/bizum.es</t>
  </si>
  <si>
    <t>https://ibb.co/0qHwrxj</t>
  </si>
  <si>
    <t>apple.com/apple-pay/</t>
  </si>
  <si>
    <t>https://ibb.co/gWdX1YC</t>
  </si>
  <si>
    <t>ovo.id</t>
  </si>
  <si>
    <t>https://ca.trustpilot.com/review/ovo.id</t>
  </si>
  <si>
    <t>https://ibb.co/zFJkZrL</t>
  </si>
  <si>
    <t>gopay.co.id</t>
  </si>
  <si>
    <t>https://apps.apple.com/my/app/gopay-transfer-pulsa-bills/id6446321594</t>
  </si>
  <si>
    <t>https://ibb.co/Nm42Mtb</t>
  </si>
  <si>
    <t>dana.id</t>
  </si>
  <si>
    <t>https://slashdot.org/software/p/DANA/</t>
  </si>
  <si>
    <t>https://ibb.co/tCp8Z6B</t>
  </si>
  <si>
    <t>bkm.com.tr</t>
  </si>
  <si>
    <t>https://www.appbrain.com/appstore/bkm-express/ios-657408050</t>
  </si>
  <si>
    <t>https://ibb.co/26Q3h1Y</t>
  </si>
  <si>
    <t>ininal.com</t>
  </si>
  <si>
    <t>https://www.trustpilot.com/review/www.ininal.com</t>
  </si>
  <si>
    <t>https://ibb.co/dWMPfbM</t>
  </si>
  <si>
    <t>ideal.nl</t>
  </si>
  <si>
    <t>https://ca.trustpilot.com/review/in3.ideal.nl</t>
  </si>
  <si>
    <t>https://ibb.co/0B8z79s</t>
  </si>
  <si>
    <t>ecb.europa.eu</t>
  </si>
  <si>
    <t>https://www.gtreview.com/magazine/nov-dec-2013/sepa-review-race-to-the-finish/</t>
  </si>
  <si>
    <t>https://ibb.co/tM6npKg</t>
  </si>
  <si>
    <t>stcpay.com.sa</t>
  </si>
  <si>
    <t>https://ca.trustpilot.com/review/www.stc.com.sa</t>
  </si>
  <si>
    <t>https://ibb.co/vjv4gDg</t>
  </si>
  <si>
    <t>twint.ch</t>
  </si>
  <si>
    <t>https://ca.trustpilot.com/review/www.twint.ch</t>
  </si>
  <si>
    <t>https://ibb.co/Gvb7cJG</t>
  </si>
  <si>
    <t>blik.com</t>
  </si>
  <si>
    <t>https://ca.trustpilot.com/review/blik.com</t>
  </si>
  <si>
    <t>https://ibb.co/KGVH9B2</t>
  </si>
  <si>
    <t>https://ibb.co/xXdgkv4</t>
  </si>
  <si>
    <t>payu.com</t>
  </si>
  <si>
    <t>https://www.capterra.in/reviews/201075/payu#:~:text=PayU%20has%20an%20overall%20rating,47%20user%20reviews%20on%20Capterra.</t>
  </si>
  <si>
    <t>https://ibb.co/mBSmSGs</t>
  </si>
  <si>
    <t>linepay.com</t>
  </si>
  <si>
    <t>https://tw.forumosa.com/t/line-pay-and-other-mobile-phone-payment-options/171901</t>
  </si>
  <si>
    <t>https://ibb.co/BZyQ4TW</t>
  </si>
  <si>
    <t>jkopay.com</t>
  </si>
  <si>
    <t>https://trustburn.com/reviews/jkopay-co-ltd</t>
  </si>
  <si>
    <t>https://ibb.co/8DmdVKY</t>
  </si>
  <si>
    <t>bancontact.com</t>
  </si>
  <si>
    <t>https://slashdot.org/software/p/Bancontact/</t>
  </si>
  <si>
    <t>https://ibb.co/Pxpc0FR</t>
  </si>
  <si>
    <t>payconiq.com</t>
  </si>
  <si>
    <t>https://www.trustpilot.com/review/payconiq.com</t>
  </si>
  <si>
    <t>https://ibb.co/9vqY4mZ</t>
  </si>
  <si>
    <t>swish.nu</t>
  </si>
  <si>
    <t>https://ca.trustpilot.com/review/swish.nu</t>
  </si>
  <si>
    <t>https://ibb.co/BnNc8P1</t>
  </si>
  <si>
    <t>https://ca.trustpilot.com/review/mercadopago.com</t>
  </si>
  <si>
    <t>https://ibb.co/0MLsspC</t>
  </si>
  <si>
    <t>naranjax.com</t>
  </si>
  <si>
    <t>https://naranja-x.es.aptoide.com/app</t>
  </si>
  <si>
    <t>https://ibb.co/ZLTSrdD</t>
  </si>
  <si>
    <t>uala.com</t>
  </si>
  <si>
    <t>https://www.trustpilot.com/review/uala.com.ar</t>
  </si>
  <si>
    <t>https://ibb.co/N7N5KkX</t>
  </si>
  <si>
    <t>n26.com</t>
  </si>
  <si>
    <t>https://www.trustpilot.com/review/n26.com</t>
  </si>
  <si>
    <t>https://ibb.co/MVLCwgs</t>
  </si>
  <si>
    <t>noon.com</t>
  </si>
  <si>
    <t>https://au.trustpilot.com/review/noon.com?page=73</t>
  </si>
  <si>
    <t>https://ibb.co/rdMbBRG</t>
  </si>
  <si>
    <t>grab.com</t>
  </si>
  <si>
    <t>https://ca.trustpilot.com/review/grab.com</t>
  </si>
  <si>
    <t>https://ibb.co/q10Tf69</t>
  </si>
  <si>
    <t>abs.org.sg/consumer-banking/pay-now</t>
  </si>
  <si>
    <t>https://www.trustpilot.com/review/paynow-app.com</t>
  </si>
  <si>
    <t>https://ibb.co/HFNHcw3</t>
  </si>
  <si>
    <t>dbs.com.sg</t>
  </si>
  <si>
    <t>https://www.trustpilot.com/review/dbs.com?page=3</t>
  </si>
  <si>
    <t>https://ibb.co/kq0fZ1P</t>
  </si>
  <si>
    <t>mobilepay.dk</t>
  </si>
  <si>
    <t>https://ibb.co/hc51xx8</t>
  </si>
  <si>
    <t>https://www.capterra.com/p/230509/Klarna/reviews/</t>
  </si>
  <si>
    <t>https://ibb.co/Y75KJmC</t>
  </si>
  <si>
    <t>payoneer.com</t>
  </si>
  <si>
    <t>https://ca.trustpilot.com/review/www.payoneer.com</t>
  </si>
  <si>
    <t>https://ibb.co/rf0gZn3</t>
  </si>
  <si>
    <t>bitpay.com</t>
  </si>
  <si>
    <t>https://www.trustpilot.com/review/bitpay.com?page=3</t>
  </si>
  <si>
    <t>https://ibb.co/NSqLXtn</t>
  </si>
  <si>
    <t>isracard.co.il</t>
  </si>
  <si>
    <t>https://www.glassdoor.co.in/Reviews/Isracard-Reviews-E553776.htm</t>
  </si>
  <si>
    <t>https://ibb.co/CBVNxxd</t>
  </si>
  <si>
    <t>rabbit.co.th</t>
  </si>
  <si>
    <t>https://payatlas.com/company/rabbit-line-pay/729#company-about</t>
  </si>
  <si>
    <t>https://ibb.co/PWXrc8V</t>
  </si>
  <si>
    <t>truemoney.com</t>
  </si>
  <si>
    <t>https://play.google.com/store/apps/details?id=th.co.truemoney.wallet&amp;hl=en-US</t>
  </si>
  <si>
    <t>https://ibb.co/zJqzsYv</t>
  </si>
  <si>
    <t>gcash.com</t>
  </si>
  <si>
    <t>https://ca.trustpilot.com/review/www.gcash.com</t>
  </si>
  <si>
    <t>https://ibb.co/kJ86hWM</t>
  </si>
  <si>
    <t>paymaya.com</t>
  </si>
  <si>
    <t>https://www.trustpilot.com/review/paymaya.com</t>
  </si>
  <si>
    <t>https://ibb.co/HrbVyr9</t>
  </si>
  <si>
    <t>https://vulcanpost.com/666509/grabpay-review-e-wallet-singapore/</t>
  </si>
  <si>
    <t>https://ibb.co/kHBvqQs</t>
  </si>
  <si>
    <t>momo.vn</t>
  </si>
  <si>
    <t>https://en.vietnamplus.vn/momo-remains-most-popular-e-wallet-in-vietnam-post279729.vnp</t>
  </si>
  <si>
    <t>https://ibb.co/VLSS3ph</t>
  </si>
  <si>
    <t>zalopay.vn</t>
  </si>
  <si>
    <t>https://apps.apple.com/vn/app/zalopay-thanh-to%C3%A1n-t%C3%ADch-th%C6%B0%E1%BB%9Fng/id1112407590?see-all=reviews</t>
  </si>
  <si>
    <t>https://ibb.co/xJR2WPG</t>
  </si>
  <si>
    <t>viettelpay.vn</t>
  </si>
  <si>
    <t>https://www.trustpilot.com/review/viettel.com.vn</t>
  </si>
  <si>
    <t>https://ibb.co/mF7W04Y</t>
  </si>
  <si>
    <t>vipps.no</t>
  </si>
  <si>
    <t>https://ca.trustpilot.com/review/vipps.no</t>
  </si>
  <si>
    <t>https://ibb.co/f0kgQJ4</t>
  </si>
  <si>
    <t>touchngo.com.my</t>
  </si>
  <si>
    <t>https://ca.trustpilot.com/review/www.touchngo.com.my</t>
  </si>
  <si>
    <t>https://ibb.co/C9m3MGY</t>
  </si>
  <si>
    <t>cimb.com.my</t>
  </si>
  <si>
    <t>https://appshunter.io/ios/app/1591184221</t>
  </si>
  <si>
    <t>https://ibb.co/DMn8vH8</t>
  </si>
  <si>
    <t>myboost.co/</t>
  </si>
  <si>
    <t>https://ie.trustpilot.com/review/www.boostmobile.com?page=27</t>
  </si>
  <si>
    <t>https://ibb.co/jrvzjy3</t>
  </si>
  <si>
    <t>shetab.com</t>
  </si>
  <si>
    <t>https://360techblogs.blogspot.com/2025/01/review-of-shetabcom-detailed-look-at.html</t>
  </si>
  <si>
    <t>https://ibb.co/6812V6T</t>
  </si>
  <si>
    <t>zarinpal.com</t>
  </si>
  <si>
    <t>https://www.glassdoor.co.in/Reviews/ZarinPal-Reviews-E4994915.htm</t>
  </si>
  <si>
    <t>https://ibb.co/zRpMc5f</t>
  </si>
  <si>
    <t>pay.ir</t>
  </si>
  <si>
    <t>https://360techblogs.blogspot.com/2025/01/review-of-payir-comprehensive-overview.html</t>
  </si>
  <si>
    <t>https://ibb.co/ZRj0tYd</t>
  </si>
  <si>
    <t>bkash.com</t>
  </si>
  <si>
    <t>https://ca.trustpilot.com/review/www.bkash.com</t>
  </si>
  <si>
    <t>https://ibb.co/x1QBytF</t>
  </si>
  <si>
    <t>nagad.com.bd</t>
  </si>
  <si>
    <t>https://www.trustpilot.com/review/nagad.com.bd</t>
  </si>
  <si>
    <t>https://ibb.co/HgbpYb0</t>
  </si>
  <si>
    <t>dutchbanglabank.com</t>
  </si>
  <si>
    <t>https://ie.trustpilot.com/review/dutchbanglabank.com</t>
  </si>
  <si>
    <t>https://ibb.co/RPR29dS</t>
  </si>
  <si>
    <t>https://ca.trustpilot.com/review/mobilepay.dk</t>
  </si>
  <si>
    <t>octopus.com.hk</t>
  </si>
  <si>
    <t>https://www.reddit.com/r/HongKong/comments/18u82k4/i_love_octopus_cards/</t>
  </si>
  <si>
    <t>https://ibb.co/LS8BSkZ</t>
  </si>
  <si>
    <t>nequi.com.co</t>
  </si>
  <si>
    <t>https://ca.trustpilot.com/review/www.nequi.com.co</t>
  </si>
  <si>
    <t>https://ibb.co/j4zmMP9</t>
  </si>
  <si>
    <t>daviplata.com</t>
  </si>
  <si>
    <t>https://play.google.com/store/apps/details?id=com.davivienda.daviplataapp&amp;hl=en-US</t>
  </si>
  <si>
    <t>https://ibb.co/5vjfFYb</t>
  </si>
  <si>
    <t>bancolombia.com</t>
  </si>
  <si>
    <t>https://www.trustpilot.com/review/www.bancolombia.com</t>
  </si>
  <si>
    <t>https://ibb.co/Fm4KC2P</t>
  </si>
  <si>
    <t>snapscan.co.za</t>
  </si>
  <si>
    <t>https://www.hellopeter.com/snapscan</t>
  </si>
  <si>
    <t>https://ibb.co/KX04HQm</t>
  </si>
  <si>
    <t>zapper.com</t>
  </si>
  <si>
    <t>https://www.hellopeter.com/zapper</t>
  </si>
  <si>
    <t>https://ibb.co/ChdBfRK</t>
  </si>
  <si>
    <t>https://www.g2.com/products/payu/reviews#reviews</t>
  </si>
  <si>
    <t>https://ibb.co/Q8YT8gD</t>
  </si>
  <si>
    <t>fawry.com</t>
  </si>
  <si>
    <t>https://justuseapp.com/en/app/1462911630/myfawry/reviews</t>
  </si>
  <si>
    <t>https://ibb.co/tHCRByZ</t>
  </si>
  <si>
    <t>https://appshunter.io/ios/app/1462911630</t>
  </si>
  <si>
    <t>https://ibb.co/806vTRx</t>
  </si>
  <si>
    <t>aman.eg</t>
  </si>
  <si>
    <t>https://support.paytabs.com/en/support/solutions/articles/60000818129-aman-activation-and-workflow-user-experience</t>
  </si>
  <si>
    <t>https://ibb.co/8zvqCxg</t>
  </si>
  <si>
    <t>jazzcash.com.pk</t>
  </si>
  <si>
    <t>https://ca.trustpilot.com/review/jazzcash.com.pk</t>
  </si>
  <si>
    <t>https://ibb.co/Qb0sCXK</t>
  </si>
  <si>
    <t>easypaisa.com.pk</t>
  </si>
  <si>
    <t>https://www.trustpilot.com/review/easypaisa.com</t>
  </si>
  <si>
    <t>https://ibb.co/VJX6vSz</t>
  </si>
  <si>
    <t>webpay.cl</t>
  </si>
  <si>
    <t>https://saasguro.com/products/webpay</t>
  </si>
  <si>
    <t>https://ibb.co/HPRXSJf</t>
  </si>
  <si>
    <t>transbank.cl</t>
  </si>
  <si>
    <t>https://appshunter.io/ios/app/1432114499</t>
  </si>
  <si>
    <t>https://ibb.co/4tDfP5z</t>
  </si>
  <si>
    <t>khipu.com</t>
  </si>
  <si>
    <t>https://www.nuvei.com/apm/khipu</t>
  </si>
  <si>
    <t>https://ibb.co/JCKtYhw</t>
  </si>
  <si>
    <t>https://duwitmu.com/tabungan/gopay-aplikasi-review-jujur-cara-daftar-top-up</t>
  </si>
  <si>
    <t>https://ibb.co/BZ7dZNg</t>
  </si>
  <si>
    <t>siirto.fi</t>
  </si>
  <si>
    <t>https://appshunter.io/ios/app/1156811861</t>
  </si>
  <si>
    <t>https://ibb.co/fqqfL9m</t>
  </si>
  <si>
    <t>mbway.pt</t>
  </si>
  <si>
    <t>https://justuseapp.com/en/app/918126133/mb-way/reviews</t>
  </si>
  <si>
    <t>https://ibb.co/dGMZHCV</t>
  </si>
  <si>
    <t>simplepay.com</t>
  </si>
  <si>
    <t>https://www.scam-detector.com/validator/simplepay-hu-review/</t>
  </si>
  <si>
    <t>https://ibb.co/ZJX3Z5C</t>
  </si>
  <si>
    <t>barion.com</t>
  </si>
  <si>
    <t>https://appshunter.io/ios/app/896714923</t>
  </si>
  <si>
    <t>https://ibb.co/VCKH0Q3</t>
  </si>
  <si>
    <t>kaspi.kz</t>
  </si>
  <si>
    <t>https://ca.trustpilot.com/review/kaspi.kz</t>
  </si>
  <si>
    <t>https://ibb.co/Kb1LWk0</t>
  </si>
  <si>
    <t>halykbank.kz</t>
  </si>
  <si>
    <t>https://appshunter.io/ios/app/1496747464</t>
  </si>
  <si>
    <t>https://ibb.co/ChMkvtk</t>
  </si>
  <si>
    <t>paybox.ru</t>
  </si>
  <si>
    <t>https://www.crunchbase.com/organization/paybox-money</t>
  </si>
  <si>
    <t>https://ibb.co/9vdfpwR</t>
  </si>
  <si>
    <t>yape.com.pe</t>
  </si>
  <si>
    <t>https://www.appbrain.com/app/yape/com.bcp.innovacxion.yapeapp</t>
  </si>
  <si>
    <t>https://ibb.co/8mfYBFK</t>
  </si>
  <si>
    <t>www.pichincha.com/banca-movil</t>
  </si>
  <si>
    <t>https://appshunter.io/ios/app/777961079</t>
  </si>
  <si>
    <t>https://ibb.co/ww6stk3</t>
  </si>
  <si>
    <t>niubiz.com.pe</t>
  </si>
  <si>
    <t>https://www.scam-detector.com/validator/niubiz-com-review/</t>
  </si>
  <si>
    <t>https://ibb.co/wWj5LRB</t>
  </si>
  <si>
    <t>zaincash.iq</t>
  </si>
  <si>
    <t>https://www.appbrain.com/app/zaincash-%D8%B2%D9%8A%D9%86-%D9%83%D8%A7%D8%B4/mobi.foo.zaincash</t>
  </si>
  <si>
    <t>https://ibb.co/71CFmPF</t>
  </si>
  <si>
    <t>qi.iq/en/digital-zone</t>
  </si>
  <si>
    <t>https://qi-services.en.softonic.com/android</t>
  </si>
  <si>
    <t>https://ibb.co/93j3qFM</t>
  </si>
  <si>
    <t>fast-pay.iq</t>
  </si>
  <si>
    <t>https://www.trustpilot.com/review/fast-pay.cash</t>
  </si>
  <si>
    <t>https://ibb.co/FBzJMyS</t>
  </si>
  <si>
    <t>vivawallet.com</t>
  </si>
  <si>
    <t>https://ca.trustpilot.com/review/viva.com</t>
  </si>
  <si>
    <t>https://ibb.co/GJykLVm</t>
  </si>
  <si>
    <t>albaridbank.ma/fr/nos-solutions/barid-bank-mobile</t>
  </si>
  <si>
    <t>https://justuseapp.com/en/app/720775151/barid-bank-mobile/reviews#google_vignette</t>
  </si>
  <si>
    <t>https://ibb.co/j6c78Hq</t>
  </si>
  <si>
    <t>cibeg.com</t>
  </si>
  <si>
    <t>https://play.google.com/store/apps/details/CIB_Mobile_Banking_App?id=com.cibeg.ddc1.digitalbanking.live&amp;hl=en-US</t>
  </si>
  <si>
    <t>https://ibb.co/d6RkPPC</t>
  </si>
  <si>
    <t>cashaddress.org</t>
  </si>
  <si>
    <t>https://www.reddit.com/r/btc/comments/9x1mkh/another_scam_wallet_cashaddress_paper_wallet/?rdt=51494</t>
  </si>
  <si>
    <t>https://ibb.co/93hdjsH</t>
  </si>
  <si>
    <t>https://appshunter.io/ios/app/1401019110</t>
  </si>
  <si>
    <t>https://ibb.co/hW7by4s</t>
  </si>
  <si>
    <t>ooredoo.qa/web/en/ooredoo-money/</t>
  </si>
  <si>
    <t>https://download.cnet.com/ooredoo-money/3000-2057_4-77112319.html</t>
  </si>
  <si>
    <t>https://ibb.co/F8JL2YR</t>
  </si>
  <si>
    <t>binance.com</t>
  </si>
  <si>
    <t>https://www.hedgewithcrypto.com/binance-review/</t>
  </si>
  <si>
    <t>https://ibb.co/gjnVjnP</t>
  </si>
  <si>
    <t>cbq.qa</t>
  </si>
  <si>
    <t>https://appshunter.io/ios/app/388934616</t>
  </si>
  <si>
    <t>https://ibb.co/Drn1xm1</t>
  </si>
  <si>
    <t>m-birr.com</t>
  </si>
  <si>
    <t>https://www.eib.org/en/publications/interactive/the-eib-outside-the-eu-2017/m-birr-realising-the-potential-of-mobile-payments/</t>
  </si>
  <si>
    <t>https://ibb.co/JmC0w03</t>
  </si>
  <si>
    <t>https://ibb.co/yWDKwwj</t>
  </si>
  <si>
    <t>dashenbanksc.com/amole-payment-services/</t>
  </si>
  <si>
    <t>https://play.google.com/store/apps/details?id=com.cr2.dashenamole&amp;hl=en_IN</t>
  </si>
  <si>
    <t>https://ibb.co/V2BB8p4</t>
  </si>
  <si>
    <t>paystack.com</t>
  </si>
  <si>
    <t>https://ca.trustpilot.com/review/paystack.com</t>
  </si>
  <si>
    <t>https://ibb.co/YXP2STN</t>
  </si>
  <si>
    <t>flutterwave.com</t>
  </si>
  <si>
    <t>https://appshunter.io/ios/app/1534897339</t>
  </si>
  <si>
    <t>https://ibb.co/f0hSmtw</t>
  </si>
  <si>
    <t>moniepoint.com</t>
  </si>
  <si>
    <t>https://www.trustpilot.com/review/moniepoint.com</t>
  </si>
  <si>
    <t>https://ibb.co/C24mNdy</t>
  </si>
  <si>
    <t>privatbank.ua</t>
  </si>
  <si>
    <t>https://ca.trustpilot.com/review/privatbank.ua</t>
  </si>
  <si>
    <t>https://ibb.co/tq8wXpM</t>
  </si>
  <si>
    <t>monobank.ua</t>
  </si>
  <si>
    <t>https://appshunter.io/ios/app/1287005205</t>
  </si>
  <si>
    <t>https://ibb.co/pvgRWj3</t>
  </si>
  <si>
    <t>pumb.ua</t>
  </si>
  <si>
    <t>https://www.trustpilot.com/review/pumb.ua</t>
  </si>
  <si>
    <t>https://ibb.co/KsJsXZt</t>
  </si>
  <si>
    <t>wafacash.com</t>
  </si>
  <si>
    <t>https://appshunter.io/ios/app/1505080908</t>
  </si>
  <si>
    <t>https://ibb.co/9w0v9RS</t>
  </si>
  <si>
    <t>cihbank.ma</t>
  </si>
  <si>
    <t>https://appshunter.io/ios/app/664637221</t>
  </si>
  <si>
    <t>https://ibb.co/wZnNg5C</t>
  </si>
  <si>
    <t>cashplus.ma</t>
  </si>
  <si>
    <t>https://www.trustpilot.com/review/cashplus.ma</t>
  </si>
  <si>
    <t>https://ibb.co/1dKy8n3</t>
  </si>
  <si>
    <t>knet.com.kw</t>
  </si>
  <si>
    <t>https://support.tap.company/en/support/solutions/articles/153000140240-what-is-knet-how-can-i-accept-knet-on-my-website-or-mobile-app-</t>
  </si>
  <si>
    <t>https://ibb.co/JqNnP70</t>
  </si>
  <si>
    <t>etecsa.cu/en/entrepreneurs/transfermovil</t>
  </si>
  <si>
    <t>https://transfermovil.en.softonic.com/android</t>
  </si>
  <si>
    <t>Website Not Accessable</t>
  </si>
  <si>
    <t>www.enzona.net</t>
  </si>
  <si>
    <t>https://www.xetid.cu/en/productos/enzona</t>
  </si>
  <si>
    <t>https://ibb.co/L9xMkt4</t>
  </si>
  <si>
    <t>somosmoneda.app</t>
  </si>
  <si>
    <t>https://360techblogs.blogspot.com/2025/01/review-of-somos-moneda-your-trusted.html</t>
  </si>
  <si>
    <t>https://ibb.co/hH2GtgF</t>
  </si>
  <si>
    <t>viamo.io</t>
  </si>
  <si>
    <t>https://appshunter.io/ios/app/644270145</t>
  </si>
  <si>
    <t>https://ibb.co/Fq9t0rp</t>
  </si>
  <si>
    <t>orange.com</t>
  </si>
  <si>
    <t>https://africanreview.com/finance/banking-a-finance/orange-money-fintech-is-proving-a-game-changer-in-africa</t>
  </si>
  <si>
    <t>https://ibb.co/0MptPcg</t>
  </si>
  <si>
    <t>billet.do/</t>
  </si>
  <si>
    <t>https://play.google.com/store/apps/details?id=com.billet.mpos&amp;hl=en-US</t>
  </si>
  <si>
    <t>https://ibb.co/h2qNZS8</t>
  </si>
  <si>
    <t>click.uz</t>
  </si>
  <si>
    <t>https://ca.trustpilot.com/review/click.uz</t>
  </si>
  <si>
    <t>https://ibb.co/qknvps8</t>
  </si>
  <si>
    <t>payme.uz</t>
  </si>
  <si>
    <t>https://play.google.com/store/apps/details?id=uz.dida.payme&amp;hl=ru</t>
  </si>
  <si>
    <t>https://ibb.co/QmLNCR3</t>
  </si>
  <si>
    <t>uzcard.uz</t>
  </si>
  <si>
    <t>https://360techblogs.blogspot.com/2025/01/review-of-uzcard-naked-new-standard-in.html</t>
  </si>
  <si>
    <t>https://ibb.co/k9p7NDP</t>
  </si>
  <si>
    <t>epay.com</t>
  </si>
  <si>
    <t>https://ca.trustpilot.com/review/epay.com</t>
  </si>
  <si>
    <t>https://ibb.co/6084mxk</t>
  </si>
  <si>
    <t>easypay.ua</t>
  </si>
  <si>
    <t>https://www.trustpilot.com/review/easypay.pt</t>
  </si>
  <si>
    <t>https://ibb.co/02fC6Nk</t>
  </si>
  <si>
    <t>kushkipagos.com</t>
  </si>
  <si>
    <t>https://www.expreso.ec/ciencia-y-tecnologia/kushki-plataforma-local-pagos-digitales-replica-6-paises-5504.html</t>
  </si>
  <si>
    <t>https://ibb.co/KzzgCrB</t>
  </si>
  <si>
    <t>pichincha.com</t>
  </si>
  <si>
    <t>https://www.appbrain.com/app/pichincha-banca-m%C3%B3vil/com.yellowpepper.pichincha</t>
  </si>
  <si>
    <t>https://ibb.co/z2TBscP</t>
  </si>
  <si>
    <t>athmovil.com</t>
  </si>
  <si>
    <t>https://ath-movil.en.softonic.com/android</t>
  </si>
  <si>
    <t>venmo.com</t>
  </si>
  <si>
    <t>https://www.getapp.com/website-ecommerce-software/a/venmo/reviews/</t>
  </si>
  <si>
    <t>https://ibb.co/p4QBD9s</t>
  </si>
  <si>
    <t>mpesa.com</t>
  </si>
  <si>
    <t>https://tech-ish.com/2021/02/01/new-m-pesa-app-really-good/</t>
  </si>
  <si>
    <t>https://ibb.co/85ZHXB9</t>
  </si>
  <si>
    <t>loop.co.ke</t>
  </si>
  <si>
    <t>https://loop-discover-pay-grow.en.softonic.com/android</t>
  </si>
  <si>
    <t>https://ibb.co/DVXhn9P</t>
  </si>
  <si>
    <t>telkom.co.ke/</t>
  </si>
  <si>
    <t>https://apps.apple.com/ke/app/t-kash/id1569568640</t>
  </si>
  <si>
    <t>https://ibb.co/KFnPxXW</t>
  </si>
  <si>
    <t>zap.com</t>
  </si>
  <si>
    <t>https://www.menosfios.com/en/a-evolucao-do-zap-on-uma-nova-experiencia-para-o-utilizador-de-telecomunicacoes-em-angola/</t>
  </si>
  <si>
    <t>https://ibb.co/7v9F0JL</t>
  </si>
  <si>
    <t>easypay.com</t>
  </si>
  <si>
    <t>https://ibb.co/Sy6q9yQ</t>
  </si>
  <si>
    <t>https://ibb.co/S0S4qSG</t>
  </si>
  <si>
    <t>banrural.com.gt</t>
  </si>
  <si>
    <t>https://appshunter.io/ios/app/6502616200</t>
  </si>
  <si>
    <t>https://ibb.co/ypKY07C</t>
  </si>
  <si>
    <t>midinero.com.uy</t>
  </si>
  <si>
    <t>https://es.trustpilot.com/review/www.midinero.com.uy</t>
  </si>
  <si>
    <t>https://ibb.co/smfwBgb</t>
  </si>
  <si>
    <t>omantel.om</t>
  </si>
  <si>
    <t>https://www.appbrain.com/app/omantel/com.omantel</t>
  </si>
  <si>
    <t>https://ibb.co/3kCtZr7</t>
  </si>
  <si>
    <t>paycash.com</t>
  </si>
  <si>
    <t>https://www.scam-detector.com/validator/paycash-app-review/</t>
  </si>
  <si>
    <t>https://ibb.co/1bDBgdY</t>
  </si>
  <si>
    <t>bankmuscat.com</t>
  </si>
  <si>
    <t>https://www.trustpilot.com/review/www.bankmuscat.com</t>
  </si>
  <si>
    <t>https://ibb.co/6ZgDRJd</t>
  </si>
  <si>
    <t>movilnet.net</t>
  </si>
  <si>
    <t>https://www.appbrain.com/app/movilnet/com.movilnet.movilnet_mobile_app</t>
  </si>
  <si>
    <t>https://ibb.co/1XRhQCP</t>
  </si>
  <si>
    <t>bancodevenezuela.com</t>
  </si>
  <si>
    <t>https://apps.apple.com/ve/app/bdvapp/id1629896484?l=en-GB</t>
  </si>
  <si>
    <t>https://ibb.co/b7HZ0gn</t>
  </si>
  <si>
    <t>bcr.ro</t>
  </si>
  <si>
    <t>https://ca.trustpilot.com/review/www.bcr.ro</t>
  </si>
  <si>
    <t>https://ibb.co/f4GzRtQ</t>
  </si>
  <si>
    <t>baccredomatic.com</t>
  </si>
  <si>
    <t>https://apps.apple.com/in/app/banca-m%C3%B3vil-bac/id465508552</t>
  </si>
  <si>
    <t>https://ibb.co/TbJy5st</t>
  </si>
  <si>
    <t>https://ibb.co/qjhFN2Z</t>
  </si>
  <si>
    <t>https://www.trustpilot.com/review/www.twint.ch</t>
  </si>
  <si>
    <t>https://ibb.co/J3kwbSY</t>
  </si>
  <si>
    <t>aircash.eu</t>
  </si>
  <si>
    <t>https://www.trustpilot.com/review/www.aircash.eu</t>
  </si>
  <si>
    <t>https://ibb.co/dg5XgfR</t>
  </si>
  <si>
    <t>vertexinc.com</t>
  </si>
  <si>
    <t>https://www.trustpilot.com/review/vertexinc.com</t>
  </si>
  <si>
    <t>https://ibb.co/tHnzMvn</t>
  </si>
  <si>
    <t>www.yappy.com.pa</t>
  </si>
  <si>
    <t>https://yappy.en.softonic.com/android</t>
  </si>
  <si>
    <t>https://ibb.co/QYksyTm</t>
  </si>
  <si>
    <t>banistmo.com</t>
  </si>
  <si>
    <t>https://play.google.com/store/apps/details/Banistmo_APP_Personas?id=com.banistmo.transaccional.personas&amp;hl=en_IN</t>
  </si>
  <si>
    <t>https://ibb.co/bKG0xdn</t>
  </si>
  <si>
    <t>momo.mtn.com</t>
  </si>
  <si>
    <t>https://pctechmag.com/2020/05/mtn-momo-app-review/</t>
  </si>
  <si>
    <t>https://ibb.co/j6sQVjD</t>
  </si>
  <si>
    <t>https://vir.com.vn/momo-dominates-vietnams-e-wallet-market-with-68-per-cent-share-102059.html</t>
  </si>
  <si>
    <t>https://ibb.co/RBkdJwB</t>
  </si>
  <si>
    <t>dialog.lk</t>
  </si>
  <si>
    <t>https://www.trustpilot.com/review/dialog.lk</t>
  </si>
  <si>
    <t>https://ibb.co/zHT57Nv</t>
  </si>
  <si>
    <t>sampath.lk</t>
  </si>
  <si>
    <t>Sampath Bank Mobile App APK for Android - Download</t>
  </si>
  <si>
    <t>https://ibb.co/wcGB4T8</t>
  </si>
  <si>
    <t>https://capar-toelegler-we-biletler.en.softonic.com/android</t>
  </si>
  <si>
    <t>https://ibb.co/ct3wx3W</t>
  </si>
  <si>
    <t>asuda.gov.tm</t>
  </si>
  <si>
    <t>https://play.google.com/store/apps/details?id=mia.gov.tm&amp;hl=en_IN</t>
  </si>
  <si>
    <t>https://ibb.co/t8w9zDs</t>
  </si>
  <si>
    <t>e.gov.tm</t>
  </si>
  <si>
    <t>https://e-gov-tm.en.softonic.com/android</t>
  </si>
  <si>
    <t>https://ibb.co/n3n50XC</t>
  </si>
  <si>
    <t>paysera.com</t>
  </si>
  <si>
    <t>https://www.trustpilot.com/review/www.paysera.com</t>
  </si>
  <si>
    <t>https://ibb.co/StD1BCq</t>
  </si>
  <si>
    <t>transfergo.com</t>
  </si>
  <si>
    <t>https://www.trustpilot.com/review/transfergo.com</t>
  </si>
  <si>
    <t>https://ibb.co/8XwW6MZ</t>
  </si>
  <si>
    <t>dlocal.com</t>
  </si>
  <si>
    <t>https://www.trustpilot.com/review/dlocal.com</t>
  </si>
  <si>
    <t>https://ibb.co/qCfg49D</t>
  </si>
  <si>
    <t>abitab.com.uy</t>
  </si>
  <si>
    <t>https://www.crunchbase.com/organization/abitab</t>
  </si>
  <si>
    <t>https://ibb.co/fM989nh</t>
  </si>
  <si>
    <t>dinersclub.com</t>
  </si>
  <si>
    <t>https://www.trustpilot.com/review/dinersclub.com</t>
  </si>
  <si>
    <t>https://ibb.co/sCyLM9p</t>
  </si>
  <si>
    <t>pesa.co</t>
  </si>
  <si>
    <t>https://play.google.com/store/apps/details?id=com.mdqqkj.hakikaloan&amp;hl=en-US</t>
  </si>
  <si>
    <t>https://ibb.co/MnG2zBy</t>
  </si>
  <si>
    <t>vodacom.co.tz</t>
  </si>
  <si>
    <t>https://play.google.com/store/apps/details?id=com.vodafone.mpesa.tanzania&amp;hl=en</t>
  </si>
  <si>
    <t>https://ibb.co/bKMjw9h</t>
  </si>
  <si>
    <t>anipay.az</t>
  </si>
  <si>
    <t>https://appshunter.io/ios/app/1546614615</t>
  </si>
  <si>
    <t>https://ibb.co/XYGcjmV</t>
  </si>
  <si>
    <t>https://ibb.co/K0MHQLK</t>
  </si>
  <si>
    <t>azericard.com</t>
  </si>
  <si>
    <t>https://ratex42.com/listings/azericard/#respond</t>
  </si>
  <si>
    <t>https://ibb.co/4wyqDQM</t>
  </si>
  <si>
    <t>https://ibb.co/XC141GY</t>
  </si>
  <si>
    <t>hubtel.com</t>
  </si>
  <si>
    <t>https://play.google.com/store/apps/details?id=com.hubtel.hcb&amp;hl=en-US</t>
  </si>
  <si>
    <t>https://ibb.co/Lhj5d1Z</t>
  </si>
  <si>
    <t>airteltigo.com.gh</t>
  </si>
  <si>
    <t>https://www.trustpilot.com/review/www.airteltigo.com.gh</t>
  </si>
  <si>
    <t>https://ibb.co/2v36hhS</t>
  </si>
  <si>
    <t>moneta.ru</t>
  </si>
  <si>
    <t>https://partnerkin.com/services/monetaru/reviews</t>
  </si>
  <si>
    <t>https://ibb.co/HThCR22</t>
  </si>
  <si>
    <t>wallet.google/intl/</t>
  </si>
  <si>
    <t>https://play.google.com/store/apps/details?id=com.google.android.apps.walletnfcrel&amp;hl=en_IN</t>
  </si>
  <si>
    <t>https://ibb.co/5rHX5jD</t>
  </si>
  <si>
    <t>belkart.by</t>
  </si>
  <si>
    <t>https://belkart-pay.en.softonic.com/android</t>
  </si>
  <si>
    <t>https://ibb.co/mS3JH82</t>
  </si>
  <si>
    <t>bank.yandex.ru/pay</t>
  </si>
  <si>
    <t>https://www.trustpilot.com/review/yandex.com</t>
  </si>
  <si>
    <t>https://ibb.co/Fw3qJjF</t>
  </si>
  <si>
    <t>https://ibb.co/km2XBR6</t>
  </si>
  <si>
    <t>velmie.com</t>
  </si>
  <si>
    <t>https://www.trustpilot.com/review/velmie.com</t>
  </si>
  <si>
    <t>https://ibb.co/nkHyRHv</t>
  </si>
  <si>
    <t>wavemoney.com.mm</t>
  </si>
  <si>
    <t>https://appshunter.io/ios/app/1439175549</t>
  </si>
  <si>
    <t>https://ibb.co/QdbRSfP</t>
  </si>
  <si>
    <t>ongo.com.mm</t>
  </si>
  <si>
    <t>https://rocketreach.co/ongo-e-money-profile_b5b5f3c7f63d2715</t>
  </si>
  <si>
    <t>kbzpay.com</t>
  </si>
  <si>
    <t>https://justuseapp.com/en/app/1398852297/kbzpay-customer/reviews</t>
  </si>
  <si>
    <t>https://ibb.co/RNG3zfV</t>
  </si>
  <si>
    <t>airtel.co.ug</t>
  </si>
  <si>
    <t>https://ibb.co/vZxkyDR</t>
  </si>
  <si>
    <t>macaupass.com</t>
  </si>
  <si>
    <t>https://play.google.com/store/apps/details/MPay?id=com.macaupass.rechargeEasy&amp;hl=en-US</t>
  </si>
  <si>
    <t>https://ibb.co/syhwnmx</t>
  </si>
  <si>
    <t>pay.wechat.com</t>
  </si>
  <si>
    <t>https://www.tripadvisor.in/ShowTopic-g294211-i642-k14971097-WeChat_Pay_enables_digital_payment_of_8_foreign_e_wallets-China.html</t>
  </si>
  <si>
    <t>https://ibb.co/G5fM7vQ</t>
  </si>
  <si>
    <t>https://ibb.co/3WqkHHt</t>
  </si>
  <si>
    <t>https://ibb.co/vkKXkkD</t>
  </si>
  <si>
    <t>pal.reflectapp.com</t>
  </si>
  <si>
    <t>https://play.google.com/store/apps/details?id=com.arabbank.neobank&amp;hl=en-US</t>
  </si>
  <si>
    <t>https://ibb.co/v4gDFyY</t>
  </si>
  <si>
    <t>anypay.co.th</t>
  </si>
  <si>
    <t>https://www.scam-detector.com/validator/anypay-io-review/</t>
  </si>
  <si>
    <t>https://ibb.co/rvjmcdJ</t>
  </si>
  <si>
    <t>Read 4 Flouci Reviews (2025) | flouci.com reviews</t>
  </si>
  <si>
    <t>https://ibb.co/q1hPhBg</t>
  </si>
  <si>
    <t>https://ibb.co/py5DyNY</t>
  </si>
  <si>
    <t>pipay.com</t>
  </si>
  <si>
    <t>https://appshunter.io/ios/app/1234143591</t>
  </si>
  <si>
    <t>https://ibb.co/vzLpkwg</t>
  </si>
  <si>
    <t>ababank.com</t>
  </si>
  <si>
    <t>https://play.google.com/store/apps/details?id=com.paygo24.ibank&amp;hl=en_IN</t>
  </si>
  <si>
    <t>https://ibb.co/3W34yQW</t>
  </si>
  <si>
    <t>wingbank.com.kh</t>
  </si>
  <si>
    <t>https://appshunter.io/ios/app/1113286385</t>
  </si>
  <si>
    <t>https://ibb.co/GQbMYht</t>
  </si>
  <si>
    <t>tigomoney.com</t>
  </si>
  <si>
    <t>https://tigo-money-bolivia.en.softonic.com/android</t>
  </si>
  <si>
    <t>https://ibb.co/XY5CKXH</t>
  </si>
  <si>
    <t>pagoefectivo.pe</t>
  </si>
  <si>
    <t>https://www.linkedin.com/pulse/pagoefectivo-transforming-cash-payments-peruvian-tony-cueva-bravo-ae8ke</t>
  </si>
  <si>
    <t>https://ibb.co/jJZj29h</t>
  </si>
  <si>
    <t>benefit.bh</t>
  </si>
  <si>
    <t>https://download.cnet.com/benefitpay/3000-2057_4-78509523.html</t>
  </si>
  <si>
    <t>https://ibb.co/wBrjY3c</t>
  </si>
  <si>
    <t>tap.company</t>
  </si>
  <si>
    <t>https://www.trustpilot.com/review/tap.company</t>
  </si>
  <si>
    <t>https://ibb.co/fqT1scD</t>
  </si>
  <si>
    <t>swedbank.com</t>
  </si>
  <si>
    <t>https://appshunter.io/ios/app/344161302</t>
  </si>
  <si>
    <t>https://ibb.co/n8tBqxR</t>
  </si>
  <si>
    <t>https://ibb.co/z2YF9B1</t>
  </si>
  <si>
    <t>personalpay.com</t>
  </si>
  <si>
    <t>https://play.google.com/store/apps/details?id=ar.com.personalpay&amp;hl=en_IN</t>
  </si>
  <si>
    <t>https://ibb.co/0KZD4tk</t>
  </si>
  <si>
    <t>visa.com</t>
  </si>
  <si>
    <t>https://www.trustpilot.com/review/visa.com</t>
  </si>
  <si>
    <t>https://ibb.co/RSSHY9w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</si>
</sst>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17233C"/>
      <name val="Arial"/>
    </font>
    <font>
      <b/>
      <sz val="16"/>
      <color rgb="FF17233C"/>
      <name val="Arial"/>
    </font>
    <font>
      <i/>
      <sz val="10"/>
      <color rgb="FF738098"/>
      <name val="Arial"/>
    </font>
    <font>
      <sz val="10"/>
      <color rgb="FF315CDE"/>
      <name val="Arial"/>
    </font>
    <font>
      <b/>
      <sz val="10"/>
      <color rgb="FFFFFFFF"/>
      <name val="Arial"/>
    </font>
    <font>
      <b/>
      <sz val="16"/>
      <color rgb="FF315CDE"/>
      <name val="Arial"/>
    </font>
    <font>
      <b/>
      <sz val="10"/>
      <color rgb="FF17233C"/>
      <name val="Arial"/>
    </font>
    <font>
      <i/>
      <sz val="10"/>
      <color rgb="FF835D18"/>
      <name val="Arial"/>
    </font>
    <font>
      <sz val="10"/>
      <color rgb="FF738098"/>
      <name val="Arial"/>
    </font>
  </fonts>
  <fills count="4">
    <fill>
      <patternFill patternType="none"/>
    </fill>
    <fill>
      <patternFill patternType="gray125"/>
    </fill>
    <fill>
      <patternFill patternType="solid">
        <fgColor rgb="FF17233C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2E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9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9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835D18"/>
      </font>
      <fill>
        <patternFill patternType="solid">
          <bgColor rgb="FFFFF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75">
                <a:latin typeface="Arial"/>
                <a:ea typeface="Arial"/>
                <a:cs typeface="Arial"/>
              </a:rPr>
              <a:t>Most-listed services (distinct markets)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Distinct markets</c:v>
          </c:tx>
          <c:spPr>
            <a:solidFill>
              <a:srgbClr val="315CDE"/>
            </a:solidFill>
          </c:spPr>
          <c:invertIfNegative val="1"/>
          <c:cat>
            <c:strRef>
              <c:f>'Service analysis'!$B$7:$B$12</c:f>
              <c:strCache>
                <c:ptCount val="6"/>
                <c:pt idx="0">
                  <c:v>PayPal</c:v>
                </c:pt>
                <c:pt idx="1">
                  <c:v>Apple Pay</c:v>
                </c:pt>
                <c:pt idx="2">
                  <c:v>Revolut</c:v>
                </c:pt>
                <c:pt idx="3">
                  <c:v>Google Pay</c:v>
                </c:pt>
                <c:pt idx="4">
                  <c:v>Alipay</c:v>
                </c:pt>
                <c:pt idx="5">
                  <c:v>MTN Mobile Money</c:v>
                </c:pt>
              </c:strCache>
            </c:strRef>
          </c:cat>
          <c:val>
            <c:numRef>
              <c:f>'Service analysis'!$C$7:$C$12</c:f>
              <c:numCache>
                <c:formatCode>#,##0</c:formatCode>
                <c:ptCount val="6"/>
                <c:pt idx="0">
                  <c:v>47</c:v>
                </c:pt>
                <c:pt idx="1">
                  <c:v>14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57C-4C92-B690-638686FDB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ervicesTable" displayName="ServicesTable" ref="A6:F197" totalsRowShown="0">
  <autoFilter ref="A6:F197" xr:uid="{00000000-0009-0000-0100-000003000000}"/>
  <tableColumns count="6">
    <tableColumn id="1" xr3:uid="{00000000-0010-0000-0000-000001000000}" name="Service ID"/>
    <tableColumn id="2" xr3:uid="{00000000-0010-0000-0000-000002000000}" name="Service"/>
    <tableColumn id="3" xr3:uid="{00000000-0010-0000-0000-000003000000}" name="Distinct markets"/>
    <tableColumn id="4" xr3:uid="{00000000-0010-0000-0000-000004000000}" name="Primary listings"/>
    <tableColumn id="5" xr3:uid="{00000000-0010-0000-0000-000005000000}" name="Alternative listings"/>
    <tableColumn id="6" xr3:uid="{00000000-0010-0000-0000-000006000000}" name="Total listin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ingsTable" displayName="ListingsTable" ref="A6:I306" totalsRowShown="0">
  <autoFilter ref="A6:I306" xr:uid="{00000000-0009-0000-0100-000002000000}"/>
  <tableColumns count="9">
    <tableColumn id="1" xr3:uid="{00000000-0010-0000-0100-000001000000}" name="Listing ID"/>
    <tableColumn id="2" xr3:uid="{00000000-0010-0000-0100-000002000000}" name="Market ID"/>
    <tableColumn id="3" xr3:uid="{00000000-0010-0000-0100-000003000000}" name="Market"/>
    <tableColumn id="4" xr3:uid="{00000000-0010-0000-0100-000004000000}" name="Service ID"/>
    <tableColumn id="5" xr3:uid="{00000000-0010-0000-0100-000005000000}" name="Service"/>
    <tableColumn id="6" xr3:uid="{00000000-0010-0000-0100-000006000000}" name="Listed role"/>
    <tableColumn id="7" xr3:uid="{00000000-0010-0000-0100-000007000000}" name="Website reference"/>
    <tableColumn id="8" xr3:uid="{00000000-0010-0000-0100-000008000000}" name="Original name"/>
    <tableColumn id="9" xr3:uid="{00000000-0010-0000-0100-000009000000}" name="First men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MarketsTable" displayName="MarketsTable" ref="A6:J106" totalsRowShown="0">
  <autoFilter ref="A6:J106" xr:uid="{00000000-0009-0000-0100-000001000000}"/>
  <tableColumns count="10">
    <tableColumn id="1" xr3:uid="{00000000-0010-0000-0200-000001000000}" name="Market ID"/>
    <tableColumn id="2" xr3:uid="{00000000-0010-0000-0200-000002000000}" name="Market"/>
    <tableColumn id="3" xr3:uid="{00000000-0010-0000-0200-000003000000}" name="Main service"/>
    <tableColumn id="4" xr3:uid="{00000000-0010-0000-0200-000004000000}" name="Alternative 1"/>
    <tableColumn id="5" xr3:uid="{00000000-0010-0000-0200-000005000000}" name="Alternative 2"/>
    <tableColumn id="6" xr3:uid="{00000000-0010-0000-0200-000006000000}" name="Original share (unverified)"/>
    <tableColumn id="7" xr3:uid="{00000000-0010-0000-0200-000007000000}" name="Evidence status"/>
    <tableColumn id="8" xr3:uid="{00000000-0010-0000-0200-000008000000}" name="Share source URL"/>
    <tableColumn id="9" xr3:uid="{00000000-0010-0000-0200-000009000000}" name="Observation period"/>
    <tableColumn id="10" xr3:uid="{00000000-0010-0000-0200-00000A000000}" name="Share 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iginalDataTable" displayName="OriginalDataTable" ref="A6:N106" totalsRowShown="0">
  <autoFilter ref="A6:N106" xr:uid="{00000000-0009-0000-0100-000004000000}"/>
  <tableColumns count="14">
    <tableColumn id="1" xr3:uid="{00000000-0010-0000-0300-000001000000}" name="Country"/>
    <tableColumn id="2" xr3:uid="{00000000-0010-0000-0300-000002000000}" name="App Name"/>
    <tableColumn id="3" xr3:uid="{00000000-0010-0000-0300-000003000000}" name="Market Share"/>
    <tableColumn id="4" xr3:uid="{00000000-0010-0000-0300-000004000000}" name="App Website Link"/>
    <tableColumn id="5" xr3:uid="{00000000-0010-0000-0300-000005000000}" name="App Review Link"/>
    <tableColumn id="6" xr3:uid="{00000000-0010-0000-0300-000006000000}" name="App Screenshot Link"/>
    <tableColumn id="7" xr3:uid="{00000000-0010-0000-0300-000007000000}" name="Alternate1 Name"/>
    <tableColumn id="8" xr3:uid="{00000000-0010-0000-0300-000008000000}" name="Alternate1 Website"/>
    <tableColumn id="9" xr3:uid="{00000000-0010-0000-0300-000009000000}" name="Alternate1 Review"/>
    <tableColumn id="10" xr3:uid="{00000000-0010-0000-0300-00000A000000}" name="Alternate1 Screenshot"/>
    <tableColumn id="11" xr3:uid="{00000000-0010-0000-0300-00000B000000}" name="Alternate2 Name"/>
    <tableColumn id="12" xr3:uid="{00000000-0010-0000-0300-00000C000000}" name="Alternate2 Website"/>
    <tableColumn id="13" xr3:uid="{00000000-0010-0000-0300-00000D000000}" name="Alternate2 Review"/>
    <tableColumn id="14" xr3:uid="{00000000-0010-0000-0300-00000E000000}" name="Alternate2 Screensh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233C"/>
  </sheetPr>
  <dimension ref="A1:N31"/>
  <sheetViews>
    <sheetView showGridLines="0" tabSelected="1" topLeftCell="A7" zoomScale="75" zoomScaleNormal="75" workbookViewId="0">
      <selection activeCell="E12" sqref="E12"/>
    </sheetView>
  </sheetViews>
  <sheetFormatPr defaultRowHeight="13.8"/>
  <cols>
    <col min="1" max="4" width="12" customWidth="1"/>
    <col min="5" max="5" width="24" customWidth="1"/>
    <col min="6" max="14" width="12" customWidth="1"/>
  </cols>
  <sheetData>
    <row r="1" spans="1:14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2.9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2.95" customHeight="1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2.95" customHeight="1">
      <c r="A6" s="1"/>
      <c r="B6" s="1" t="s">
        <v>2</v>
      </c>
      <c r="C6" s="1"/>
      <c r="D6" s="1"/>
      <c r="E6" s="1" t="s">
        <v>3</v>
      </c>
      <c r="F6" s="1"/>
      <c r="G6" s="1"/>
      <c r="H6" s="1" t="s">
        <v>4</v>
      </c>
      <c r="I6" s="1"/>
      <c r="J6" s="1"/>
      <c r="K6" s="1" t="s">
        <v>5</v>
      </c>
      <c r="L6" s="1"/>
      <c r="M6" s="1"/>
      <c r="N6" s="1"/>
    </row>
    <row r="7" spans="1:14" ht="22.95" customHeight="1">
      <c r="A7" s="1"/>
      <c r="B7" s="12">
        <f>COUNTA(Markets!$B$7:$B$106)</f>
        <v>100</v>
      </c>
      <c r="C7" s="1"/>
      <c r="D7" s="1"/>
      <c r="E7" s="12">
        <f>COUNTA('Service analysis'!$B$7:$B$197)</f>
        <v>191</v>
      </c>
      <c r="F7" s="1"/>
      <c r="G7" s="1"/>
      <c r="H7" s="12">
        <f>COUNTA(Listings!$A$7:$A$306)</f>
        <v>300</v>
      </c>
      <c r="I7" s="1"/>
      <c r="J7" s="1"/>
      <c r="K7" s="12">
        <f>COUNTIFS(Markets!$G$7:$G$106,"Unverified")</f>
        <v>100</v>
      </c>
      <c r="L7" s="1"/>
      <c r="M7" s="1"/>
      <c r="N7" s="1"/>
    </row>
    <row r="8" spans="1:14" ht="22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2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2.95" customHeight="1">
      <c r="A10" s="1"/>
      <c r="B10" s="13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2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2.95" customHeight="1">
      <c r="A12" s="1"/>
      <c r="B12" s="1" t="s">
        <v>7</v>
      </c>
      <c r="C12" s="1"/>
      <c r="D12" s="1"/>
      <c r="E12" s="8" t="s">
        <v>8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ht="22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2.95" customHeight="1">
      <c r="A14" s="1"/>
      <c r="B14" s="1" t="s">
        <v>9</v>
      </c>
      <c r="C14" s="1"/>
      <c r="D14" s="1"/>
      <c r="E14" s="13" t="str">
        <f>INDEX(Markets!$C$7:$C$106,MATCH($E$12,Markets!$B$7:$B$106,0))</f>
        <v>PhonePe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22.95" customHeight="1">
      <c r="A15" s="1"/>
      <c r="B15" s="1" t="s">
        <v>10</v>
      </c>
      <c r="C15" s="1"/>
      <c r="D15" s="1"/>
      <c r="E15" s="13" t="str">
        <f>INDEX(Markets!$D$7:$D$106,MATCH($E$12,Markets!$B$7:$B$106,0))</f>
        <v>Google Pay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22.95" customHeight="1">
      <c r="A16" s="1"/>
      <c r="B16" s="1" t="s">
        <v>11</v>
      </c>
      <c r="C16" s="1"/>
      <c r="D16" s="1"/>
      <c r="E16" s="13" t="str">
        <f>INDEX(Markets!$E$7:$E$106,MATCH($E$12,Markets!$B$7:$B$106,0))</f>
        <v>Paytm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22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2.95" customHeight="1">
      <c r="A18" s="1"/>
      <c r="B18" s="1" t="s">
        <v>12</v>
      </c>
      <c r="C18" s="1"/>
      <c r="D18" s="1"/>
      <c r="E18" s="14">
        <f>INDEX(Markets!$F$7:$F$106,MATCH($E$12,Markets!$B$7:$B$106,0))</f>
        <v>0.47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ht="22.95" customHeight="1">
      <c r="A19" s="1"/>
      <c r="B19" s="1" t="s">
        <v>13</v>
      </c>
      <c r="C19" s="1"/>
      <c r="D19" s="1"/>
      <c r="E19" s="13" t="str">
        <f>INDEX(Markets!$G$7:$G$106,MATCH($E$12,Markets!$B$7:$B$106,0))</f>
        <v>Unverified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ht="22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2.95" customHeight="1">
      <c r="A21" s="1"/>
      <c r="B21" s="15" t="s">
        <v>14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2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2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2.95" customHeight="1">
      <c r="A24" s="1"/>
      <c r="B24" s="16" t="s">
        <v>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2.95" customHeight="1">
      <c r="A25" s="1"/>
      <c r="B25" s="16" t="s">
        <v>16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2.95" customHeight="1">
      <c r="A26" s="1"/>
      <c r="B26" s="1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2.95" customHeight="1">
      <c r="A27" s="1"/>
      <c r="B27" s="16" t="s">
        <v>17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2.95" customHeight="1">
      <c r="A28" s="1"/>
      <c r="B28" s="16" t="s">
        <v>18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Markets!$B$7:$B$106</xm:f>
          </x14:formula1>
          <xm:sqref>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21" customWidth="1"/>
    <col min="2" max="2" width="29" customWidth="1"/>
    <col min="3" max="6" width="21" customWidth="1"/>
  </cols>
  <sheetData>
    <row r="1" spans="1:6" ht="22.95" customHeight="1">
      <c r="A1" s="1"/>
      <c r="B1" s="1"/>
      <c r="C1" s="1"/>
      <c r="D1" s="1"/>
      <c r="E1" s="1"/>
      <c r="F1" s="1"/>
    </row>
    <row r="2" spans="1:6" ht="22.95" customHeight="1">
      <c r="A2" s="2" t="s">
        <v>19</v>
      </c>
      <c r="B2" s="1"/>
      <c r="C2" s="1"/>
      <c r="D2" s="1"/>
      <c r="E2" s="1"/>
      <c r="F2" s="1"/>
    </row>
    <row r="3" spans="1:6" ht="22.95" customHeight="1">
      <c r="A3" s="3"/>
      <c r="B3" s="3"/>
      <c r="C3" s="3"/>
      <c r="D3" s="3"/>
      <c r="E3" s="3"/>
      <c r="F3" s="3"/>
    </row>
    <row r="4" spans="1:6" ht="22.95" customHeight="1">
      <c r="A4" s="4" t="s">
        <v>20</v>
      </c>
      <c r="B4" s="1"/>
      <c r="C4" s="1"/>
      <c r="D4" s="1"/>
      <c r="E4" s="1"/>
      <c r="F4" s="1"/>
    </row>
    <row r="5" spans="1:6" ht="22.95" customHeight="1">
      <c r="A5" s="1"/>
      <c r="B5" s="1"/>
      <c r="C5" s="1"/>
      <c r="D5" s="1"/>
      <c r="E5" s="1"/>
      <c r="F5" s="1"/>
    </row>
    <row r="6" spans="1:6" ht="34.049999999999997" customHeight="1">
      <c r="A6" s="6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</row>
    <row r="7" spans="1:6" ht="22.95" customHeight="1">
      <c r="A7" s="1" t="s">
        <v>27</v>
      </c>
      <c r="B7" s="1" t="s">
        <v>28</v>
      </c>
      <c r="C7" s="11">
        <f>SUMIFS(Listings!$I$7:$I$306,Listings!$D$7:$D$306,$A7)</f>
        <v>47</v>
      </c>
      <c r="D7" s="11">
        <f>COUNTIFS(Listings!$D$7:$D$306,$A7,Listings!$F$7:$F$306,"Primary")</f>
        <v>2</v>
      </c>
      <c r="E7" s="11">
        <f>COUNTIFS(Listings!$D$7:$D$306,$A7,Listings!$F$7:$F$306,"&lt;&gt;Primary")</f>
        <v>45</v>
      </c>
      <c r="F7" s="11">
        <f t="shared" ref="F7:F38" si="0">SUM(D7:E7)</f>
        <v>47</v>
      </c>
    </row>
    <row r="8" spans="1:6" ht="22.95" customHeight="1">
      <c r="A8" s="1" t="s">
        <v>29</v>
      </c>
      <c r="B8" s="1" t="s">
        <v>30</v>
      </c>
      <c r="C8" s="11">
        <f>SUMIFS(Listings!$I$7:$I$306,Listings!$D$7:$D$306,$A8)</f>
        <v>14</v>
      </c>
      <c r="D8" s="11">
        <f>COUNTIFS(Listings!$D$7:$D$306,$A8,Listings!$F$7:$F$306,"Primary")</f>
        <v>3</v>
      </c>
      <c r="E8" s="11">
        <f>COUNTIFS(Listings!$D$7:$D$306,$A8,Listings!$F$7:$F$306,"&lt;&gt;Primary")</f>
        <v>11</v>
      </c>
      <c r="F8" s="11">
        <f t="shared" si="0"/>
        <v>14</v>
      </c>
    </row>
    <row r="9" spans="1:6" ht="22.95" customHeight="1">
      <c r="A9" s="1" t="s">
        <v>31</v>
      </c>
      <c r="B9" s="1" t="s">
        <v>32</v>
      </c>
      <c r="C9" s="11">
        <f>SUMIFS(Listings!$I$7:$I$306,Listings!$D$7:$D$306,$A9)</f>
        <v>7</v>
      </c>
      <c r="D9" s="11">
        <f>COUNTIFS(Listings!$D$7:$D$306,$A9,Listings!$F$7:$F$306,"Primary")</f>
        <v>1</v>
      </c>
      <c r="E9" s="11">
        <f>COUNTIFS(Listings!$D$7:$D$306,$A9,Listings!$F$7:$F$306,"&lt;&gt;Primary")</f>
        <v>6</v>
      </c>
      <c r="F9" s="11">
        <f t="shared" si="0"/>
        <v>7</v>
      </c>
    </row>
    <row r="10" spans="1:6" ht="22.95" customHeight="1">
      <c r="A10" s="1" t="s">
        <v>33</v>
      </c>
      <c r="B10" s="1" t="s">
        <v>34</v>
      </c>
      <c r="C10" s="11">
        <f>SUMIFS(Listings!$I$7:$I$306,Listings!$D$7:$D$306,$A10)</f>
        <v>6</v>
      </c>
      <c r="D10" s="11">
        <f>COUNTIFS(Listings!$D$7:$D$306,$A10,Listings!$F$7:$F$306,"Primary")</f>
        <v>0</v>
      </c>
      <c r="E10" s="11">
        <f>COUNTIFS(Listings!$D$7:$D$306,$A10,Listings!$F$7:$F$306,"&lt;&gt;Primary")</f>
        <v>6</v>
      </c>
      <c r="F10" s="11">
        <f t="shared" si="0"/>
        <v>6</v>
      </c>
    </row>
    <row r="11" spans="1:6" ht="22.95" customHeight="1">
      <c r="A11" s="1" t="s">
        <v>35</v>
      </c>
      <c r="B11" s="1" t="s">
        <v>36</v>
      </c>
      <c r="C11" s="11">
        <f>SUMIFS(Listings!$I$7:$I$306,Listings!$D$7:$D$306,$A11)</f>
        <v>4</v>
      </c>
      <c r="D11" s="11">
        <f>COUNTIFS(Listings!$D$7:$D$306,$A11,Listings!$F$7:$F$306,"Primary")</f>
        <v>2</v>
      </c>
      <c r="E11" s="11">
        <f>COUNTIFS(Listings!$D$7:$D$306,$A11,Listings!$F$7:$F$306,"&lt;&gt;Primary")</f>
        <v>2</v>
      </c>
      <c r="F11" s="11">
        <f t="shared" si="0"/>
        <v>4</v>
      </c>
    </row>
    <row r="12" spans="1:6" ht="22.95" customHeight="1">
      <c r="A12" s="1" t="s">
        <v>37</v>
      </c>
      <c r="B12" s="1" t="s">
        <v>38</v>
      </c>
      <c r="C12" s="11">
        <f>SUMIFS(Listings!$I$7:$I$306,Listings!$D$7:$D$306,$A12)</f>
        <v>4</v>
      </c>
      <c r="D12" s="11">
        <f>COUNTIFS(Listings!$D$7:$D$306,$A12,Listings!$F$7:$F$306,"Primary")</f>
        <v>2</v>
      </c>
      <c r="E12" s="11">
        <f>COUNTIFS(Listings!$D$7:$D$306,$A12,Listings!$F$7:$F$306,"&lt;&gt;Primary")</f>
        <v>2</v>
      </c>
      <c r="F12" s="11">
        <f t="shared" si="0"/>
        <v>4</v>
      </c>
    </row>
    <row r="13" spans="1:6" ht="22.95" customHeight="1">
      <c r="A13" s="1" t="s">
        <v>39</v>
      </c>
      <c r="B13" s="1" t="s">
        <v>40</v>
      </c>
      <c r="C13" s="11">
        <f>SUMIFS(Listings!$I$7:$I$306,Listings!$D$7:$D$306,$A13)</f>
        <v>4</v>
      </c>
      <c r="D13" s="11">
        <f>COUNTIFS(Listings!$D$7:$D$306,$A13,Listings!$F$7:$F$306,"Primary")</f>
        <v>4</v>
      </c>
      <c r="E13" s="11">
        <f>COUNTIFS(Listings!$D$7:$D$306,$A13,Listings!$F$7:$F$306,"&lt;&gt;Primary")</f>
        <v>0</v>
      </c>
      <c r="F13" s="11">
        <f t="shared" si="0"/>
        <v>4</v>
      </c>
    </row>
    <row r="14" spans="1:6" ht="22.95" customHeight="1">
      <c r="A14" s="1" t="s">
        <v>41</v>
      </c>
      <c r="B14" s="1" t="s">
        <v>42</v>
      </c>
      <c r="C14" s="11">
        <f>SUMIFS(Listings!$I$7:$I$306,Listings!$D$7:$D$306,$A14)</f>
        <v>4</v>
      </c>
      <c r="D14" s="11">
        <f>COUNTIFS(Listings!$D$7:$D$306,$A14,Listings!$F$7:$F$306,"Primary")</f>
        <v>3</v>
      </c>
      <c r="E14" s="11">
        <f>COUNTIFS(Listings!$D$7:$D$306,$A14,Listings!$F$7:$F$306,"&lt;&gt;Primary")</f>
        <v>1</v>
      </c>
      <c r="F14" s="11">
        <f t="shared" si="0"/>
        <v>4</v>
      </c>
    </row>
    <row r="15" spans="1:6" ht="22.95" customHeight="1">
      <c r="A15" s="1" t="s">
        <v>43</v>
      </c>
      <c r="B15" s="1" t="s">
        <v>44</v>
      </c>
      <c r="C15" s="11">
        <f>SUMIFS(Listings!$I$7:$I$306,Listings!$D$7:$D$306,$A15)</f>
        <v>3</v>
      </c>
      <c r="D15" s="11">
        <f>COUNTIFS(Listings!$D$7:$D$306,$A15,Listings!$F$7:$F$306,"Primary")</f>
        <v>2</v>
      </c>
      <c r="E15" s="11">
        <f>COUNTIFS(Listings!$D$7:$D$306,$A15,Listings!$F$7:$F$306,"&lt;&gt;Primary")</f>
        <v>1</v>
      </c>
      <c r="F15" s="11">
        <f t="shared" si="0"/>
        <v>3</v>
      </c>
    </row>
    <row r="16" spans="1:6" ht="22.95" customHeight="1">
      <c r="A16" s="1" t="s">
        <v>45</v>
      </c>
      <c r="B16" s="1" t="s">
        <v>46</v>
      </c>
      <c r="C16" s="11">
        <f>SUMIFS(Listings!$I$7:$I$306,Listings!$D$7:$D$306,$A16)</f>
        <v>3</v>
      </c>
      <c r="D16" s="11">
        <f>COUNTIFS(Listings!$D$7:$D$306,$A16,Listings!$F$7:$F$306,"Primary")</f>
        <v>0</v>
      </c>
      <c r="E16" s="11">
        <f>COUNTIFS(Listings!$D$7:$D$306,$A16,Listings!$F$7:$F$306,"&lt;&gt;Primary")</f>
        <v>3</v>
      </c>
      <c r="F16" s="11">
        <f t="shared" si="0"/>
        <v>3</v>
      </c>
    </row>
    <row r="17" spans="1:6" ht="22.95" customHeight="1">
      <c r="A17" s="1" t="s">
        <v>47</v>
      </c>
      <c r="B17" s="1" t="s">
        <v>48</v>
      </c>
      <c r="C17" s="11">
        <f>SUMIFS(Listings!$I$7:$I$306,Listings!$D$7:$D$306,$A17)</f>
        <v>3</v>
      </c>
      <c r="D17" s="11">
        <f>COUNTIFS(Listings!$D$7:$D$306,$A17,Listings!$F$7:$F$306,"Primary")</f>
        <v>1</v>
      </c>
      <c r="E17" s="11">
        <f>COUNTIFS(Listings!$D$7:$D$306,$A17,Listings!$F$7:$F$306,"&lt;&gt;Primary")</f>
        <v>2</v>
      </c>
      <c r="F17" s="11">
        <f t="shared" si="0"/>
        <v>3</v>
      </c>
    </row>
    <row r="18" spans="1:6" ht="22.95" customHeight="1">
      <c r="A18" s="1" t="s">
        <v>49</v>
      </c>
      <c r="B18" s="1" t="s">
        <v>50</v>
      </c>
      <c r="C18" s="11">
        <f>SUMIFS(Listings!$I$7:$I$306,Listings!$D$7:$D$306,$A18)</f>
        <v>3</v>
      </c>
      <c r="D18" s="11">
        <f>COUNTIFS(Listings!$D$7:$D$306,$A18,Listings!$F$7:$F$306,"Primary")</f>
        <v>1</v>
      </c>
      <c r="E18" s="11">
        <f>COUNTIFS(Listings!$D$7:$D$306,$A18,Listings!$F$7:$F$306,"&lt;&gt;Primary")</f>
        <v>2</v>
      </c>
      <c r="F18" s="11">
        <f t="shared" si="0"/>
        <v>3</v>
      </c>
    </row>
    <row r="19" spans="1:6" ht="22.95" customHeight="1">
      <c r="A19" s="1" t="s">
        <v>51</v>
      </c>
      <c r="B19" s="1" t="s">
        <v>52</v>
      </c>
      <c r="C19" s="11">
        <f>SUMIFS(Listings!$I$7:$I$306,Listings!$D$7:$D$306,$A19)</f>
        <v>3</v>
      </c>
      <c r="D19" s="11">
        <f>COUNTIFS(Listings!$D$7:$D$306,$A19,Listings!$F$7:$F$306,"Primary")</f>
        <v>1</v>
      </c>
      <c r="E19" s="11">
        <f>COUNTIFS(Listings!$D$7:$D$306,$A19,Listings!$F$7:$F$306,"&lt;&gt;Primary")</f>
        <v>2</v>
      </c>
      <c r="F19" s="11">
        <f t="shared" si="0"/>
        <v>3</v>
      </c>
    </row>
    <row r="20" spans="1:6" ht="22.95" customHeight="1">
      <c r="A20" s="1" t="s">
        <v>53</v>
      </c>
      <c r="B20" s="1" t="s">
        <v>54</v>
      </c>
      <c r="C20" s="11">
        <f>SUMIFS(Listings!$I$7:$I$306,Listings!$D$7:$D$306,$A20)</f>
        <v>3</v>
      </c>
      <c r="D20" s="11">
        <f>COUNTIFS(Listings!$D$7:$D$306,$A20,Listings!$F$7:$F$306,"Primary")</f>
        <v>0</v>
      </c>
      <c r="E20" s="11">
        <f>COUNTIFS(Listings!$D$7:$D$306,$A20,Listings!$F$7:$F$306,"&lt;&gt;Primary")</f>
        <v>3</v>
      </c>
      <c r="F20" s="11">
        <f t="shared" si="0"/>
        <v>3</v>
      </c>
    </row>
    <row r="21" spans="1:6" ht="22.95" customHeight="1">
      <c r="A21" s="1" t="s">
        <v>55</v>
      </c>
      <c r="B21" s="1" t="s">
        <v>56</v>
      </c>
      <c r="C21" s="11">
        <f>SUMIFS(Listings!$I$7:$I$306,Listings!$D$7:$D$306,$A21)</f>
        <v>2</v>
      </c>
      <c r="D21" s="11">
        <f>COUNTIFS(Listings!$D$7:$D$306,$A21,Listings!$F$7:$F$306,"Primary")</f>
        <v>1</v>
      </c>
      <c r="E21" s="11">
        <f>COUNTIFS(Listings!$D$7:$D$306,$A21,Listings!$F$7:$F$306,"&lt;&gt;Primary")</f>
        <v>1</v>
      </c>
      <c r="F21" s="11">
        <f t="shared" si="0"/>
        <v>2</v>
      </c>
    </row>
    <row r="22" spans="1:6" ht="22.95" customHeight="1">
      <c r="A22" s="1" t="s">
        <v>57</v>
      </c>
      <c r="B22" s="1" t="s">
        <v>58</v>
      </c>
      <c r="C22" s="11">
        <f>SUMIFS(Listings!$I$7:$I$306,Listings!$D$7:$D$306,$A22)</f>
        <v>2</v>
      </c>
      <c r="D22" s="11">
        <f>COUNTIFS(Listings!$D$7:$D$306,$A22,Listings!$F$7:$F$306,"Primary")</f>
        <v>1</v>
      </c>
      <c r="E22" s="11">
        <f>COUNTIFS(Listings!$D$7:$D$306,$A22,Listings!$F$7:$F$306,"&lt;&gt;Primary")</f>
        <v>1</v>
      </c>
      <c r="F22" s="11">
        <f t="shared" si="0"/>
        <v>2</v>
      </c>
    </row>
    <row r="23" spans="1:6" ht="22.95" customHeight="1">
      <c r="A23" s="1" t="s">
        <v>59</v>
      </c>
      <c r="B23" s="1" t="s">
        <v>60</v>
      </c>
      <c r="C23" s="11">
        <f>SUMIFS(Listings!$I$7:$I$306,Listings!$D$7:$D$306,$A23)</f>
        <v>2</v>
      </c>
      <c r="D23" s="11">
        <f>COUNTIFS(Listings!$D$7:$D$306,$A23,Listings!$F$7:$F$306,"Primary")</f>
        <v>1</v>
      </c>
      <c r="E23" s="11">
        <f>COUNTIFS(Listings!$D$7:$D$306,$A23,Listings!$F$7:$F$306,"&lt;&gt;Primary")</f>
        <v>1</v>
      </c>
      <c r="F23" s="11">
        <f t="shared" si="0"/>
        <v>2</v>
      </c>
    </row>
    <row r="24" spans="1:6" ht="22.95" customHeight="1">
      <c r="A24" s="1" t="s">
        <v>61</v>
      </c>
      <c r="B24" s="1" t="s">
        <v>62</v>
      </c>
      <c r="C24" s="11">
        <f>SUMIFS(Listings!$I$7:$I$306,Listings!$D$7:$D$306,$A24)</f>
        <v>2</v>
      </c>
      <c r="D24" s="11">
        <f>COUNTIFS(Listings!$D$7:$D$306,$A24,Listings!$F$7:$F$306,"Primary")</f>
        <v>0</v>
      </c>
      <c r="E24" s="11">
        <f>COUNTIFS(Listings!$D$7:$D$306,$A24,Listings!$F$7:$F$306,"&lt;&gt;Primary")</f>
        <v>2</v>
      </c>
      <c r="F24" s="11">
        <f t="shared" si="0"/>
        <v>2</v>
      </c>
    </row>
    <row r="25" spans="1:6" ht="22.95" customHeight="1">
      <c r="A25" s="1" t="s">
        <v>63</v>
      </c>
      <c r="B25" s="1" t="s">
        <v>64</v>
      </c>
      <c r="C25" s="11">
        <f>SUMIFS(Listings!$I$7:$I$306,Listings!$D$7:$D$306,$A25)</f>
        <v>2</v>
      </c>
      <c r="D25" s="11">
        <f>COUNTIFS(Listings!$D$7:$D$306,$A25,Listings!$F$7:$F$306,"Primary")</f>
        <v>1</v>
      </c>
      <c r="E25" s="11">
        <f>COUNTIFS(Listings!$D$7:$D$306,$A25,Listings!$F$7:$F$306,"&lt;&gt;Primary")</f>
        <v>1</v>
      </c>
      <c r="F25" s="11">
        <f t="shared" si="0"/>
        <v>2</v>
      </c>
    </row>
    <row r="26" spans="1:6" ht="22.95" customHeight="1">
      <c r="A26" s="1" t="s">
        <v>65</v>
      </c>
      <c r="B26" s="1" t="s">
        <v>66</v>
      </c>
      <c r="C26" s="11">
        <f>SUMIFS(Listings!$I$7:$I$306,Listings!$D$7:$D$306,$A26)</f>
        <v>2</v>
      </c>
      <c r="D26" s="11">
        <f>COUNTIFS(Listings!$D$7:$D$306,$A26,Listings!$F$7:$F$306,"Primary")</f>
        <v>1</v>
      </c>
      <c r="E26" s="11">
        <f>COUNTIFS(Listings!$D$7:$D$306,$A26,Listings!$F$7:$F$306,"&lt;&gt;Primary")</f>
        <v>1</v>
      </c>
      <c r="F26" s="11">
        <f t="shared" si="0"/>
        <v>2</v>
      </c>
    </row>
    <row r="27" spans="1:6" ht="22.95" customHeight="1">
      <c r="A27" s="1" t="s">
        <v>67</v>
      </c>
      <c r="B27" s="1" t="s">
        <v>68</v>
      </c>
      <c r="C27" s="11">
        <f>SUMIFS(Listings!$I$7:$I$306,Listings!$D$7:$D$306,$A27)</f>
        <v>2</v>
      </c>
      <c r="D27" s="11">
        <f>COUNTIFS(Listings!$D$7:$D$306,$A27,Listings!$F$7:$F$306,"Primary")</f>
        <v>2</v>
      </c>
      <c r="E27" s="11">
        <f>COUNTIFS(Listings!$D$7:$D$306,$A27,Listings!$F$7:$F$306,"&lt;&gt;Primary")</f>
        <v>1</v>
      </c>
      <c r="F27" s="11">
        <f t="shared" si="0"/>
        <v>3</v>
      </c>
    </row>
    <row r="28" spans="1:6" ht="22.95" customHeight="1">
      <c r="A28" s="1" t="s">
        <v>69</v>
      </c>
      <c r="B28" s="1" t="s">
        <v>70</v>
      </c>
      <c r="C28" s="11">
        <f>SUMIFS(Listings!$I$7:$I$306,Listings!$D$7:$D$306,$A28)</f>
        <v>2</v>
      </c>
      <c r="D28" s="11">
        <f>COUNTIFS(Listings!$D$7:$D$306,$A28,Listings!$F$7:$F$306,"Primary")</f>
        <v>1</v>
      </c>
      <c r="E28" s="11">
        <f>COUNTIFS(Listings!$D$7:$D$306,$A28,Listings!$F$7:$F$306,"&lt;&gt;Primary")</f>
        <v>1</v>
      </c>
      <c r="F28" s="11">
        <f t="shared" si="0"/>
        <v>2</v>
      </c>
    </row>
    <row r="29" spans="1:6" ht="22.95" customHeight="1">
      <c r="A29" s="1" t="s">
        <v>71</v>
      </c>
      <c r="B29" s="1" t="s">
        <v>72</v>
      </c>
      <c r="C29" s="11">
        <f>SUMIFS(Listings!$I$7:$I$306,Listings!$D$7:$D$306,$A29)</f>
        <v>2</v>
      </c>
      <c r="D29" s="11">
        <f>COUNTIFS(Listings!$D$7:$D$306,$A29,Listings!$F$7:$F$306,"Primary")</f>
        <v>0</v>
      </c>
      <c r="E29" s="11">
        <f>COUNTIFS(Listings!$D$7:$D$306,$A29,Listings!$F$7:$F$306,"&lt;&gt;Primary")</f>
        <v>2</v>
      </c>
      <c r="F29" s="11">
        <f t="shared" si="0"/>
        <v>2</v>
      </c>
    </row>
    <row r="30" spans="1:6" ht="22.95" customHeight="1">
      <c r="A30" s="1" t="s">
        <v>73</v>
      </c>
      <c r="B30" s="1" t="s">
        <v>74</v>
      </c>
      <c r="C30" s="11">
        <f>SUMIFS(Listings!$I$7:$I$306,Listings!$D$7:$D$306,$A30)</f>
        <v>2</v>
      </c>
      <c r="D30" s="11">
        <f>COUNTIFS(Listings!$D$7:$D$306,$A30,Listings!$F$7:$F$306,"Primary")</f>
        <v>1</v>
      </c>
      <c r="E30" s="11">
        <f>COUNTIFS(Listings!$D$7:$D$306,$A30,Listings!$F$7:$F$306,"&lt;&gt;Primary")</f>
        <v>1</v>
      </c>
      <c r="F30" s="11">
        <f t="shared" si="0"/>
        <v>2</v>
      </c>
    </row>
    <row r="31" spans="1:6" ht="22.95" customHeight="1">
      <c r="A31" s="1" t="s">
        <v>75</v>
      </c>
      <c r="B31" s="1" t="s">
        <v>76</v>
      </c>
      <c r="C31" s="11">
        <f>SUMIFS(Listings!$I$7:$I$306,Listings!$D$7:$D$306,$A31)</f>
        <v>2</v>
      </c>
      <c r="D31" s="11">
        <f>COUNTIFS(Listings!$D$7:$D$306,$A31,Listings!$F$7:$F$306,"Primary")</f>
        <v>1</v>
      </c>
      <c r="E31" s="11">
        <f>COUNTIFS(Listings!$D$7:$D$306,$A31,Listings!$F$7:$F$306,"&lt;&gt;Primary")</f>
        <v>1</v>
      </c>
      <c r="F31" s="11">
        <f t="shared" si="0"/>
        <v>2</v>
      </c>
    </row>
    <row r="32" spans="1:6" ht="22.95" customHeight="1">
      <c r="A32" s="1" t="s">
        <v>77</v>
      </c>
      <c r="B32" s="1" t="s">
        <v>78</v>
      </c>
      <c r="C32" s="11">
        <f>SUMIFS(Listings!$I$7:$I$306,Listings!$D$7:$D$306,$A32)</f>
        <v>2</v>
      </c>
      <c r="D32" s="11">
        <f>COUNTIFS(Listings!$D$7:$D$306,$A32,Listings!$F$7:$F$306,"Primary")</f>
        <v>2</v>
      </c>
      <c r="E32" s="11">
        <f>COUNTIFS(Listings!$D$7:$D$306,$A32,Listings!$F$7:$F$306,"&lt;&gt;Primary")</f>
        <v>0</v>
      </c>
      <c r="F32" s="11">
        <f t="shared" si="0"/>
        <v>2</v>
      </c>
    </row>
    <row r="33" spans="1:6" ht="22.95" customHeight="1">
      <c r="A33" s="1" t="s">
        <v>79</v>
      </c>
      <c r="B33" s="1" t="s">
        <v>80</v>
      </c>
      <c r="C33" s="11">
        <f>SUMIFS(Listings!$I$7:$I$306,Listings!$D$7:$D$306,$A33)</f>
        <v>2</v>
      </c>
      <c r="D33" s="11">
        <f>COUNTIFS(Listings!$D$7:$D$306,$A33,Listings!$F$7:$F$306,"Primary")</f>
        <v>1</v>
      </c>
      <c r="E33" s="11">
        <f>COUNTIFS(Listings!$D$7:$D$306,$A33,Listings!$F$7:$F$306,"&lt;&gt;Primary")</f>
        <v>1</v>
      </c>
      <c r="F33" s="11">
        <f t="shared" si="0"/>
        <v>2</v>
      </c>
    </row>
    <row r="34" spans="1:6" ht="22.95" customHeight="1">
      <c r="A34" s="1" t="s">
        <v>81</v>
      </c>
      <c r="B34" s="1" t="s">
        <v>82</v>
      </c>
      <c r="C34" s="11">
        <f>SUMIFS(Listings!$I$7:$I$306,Listings!$D$7:$D$306,$A34)</f>
        <v>2</v>
      </c>
      <c r="D34" s="11">
        <f>COUNTIFS(Listings!$D$7:$D$306,$A34,Listings!$F$7:$F$306,"Primary")</f>
        <v>2</v>
      </c>
      <c r="E34" s="11">
        <f>COUNTIFS(Listings!$D$7:$D$306,$A34,Listings!$F$7:$F$306,"&lt;&gt;Primary")</f>
        <v>0</v>
      </c>
      <c r="F34" s="11">
        <f t="shared" si="0"/>
        <v>2</v>
      </c>
    </row>
    <row r="35" spans="1:6" ht="22.95" customHeight="1">
      <c r="A35" s="1" t="s">
        <v>83</v>
      </c>
      <c r="B35" s="1" t="s">
        <v>84</v>
      </c>
      <c r="C35" s="11">
        <f>SUMIFS(Listings!$I$7:$I$306,Listings!$D$7:$D$306,$A35)</f>
        <v>1</v>
      </c>
      <c r="D35" s="11">
        <f>COUNTIFS(Listings!$D$7:$D$306,$A35,Listings!$F$7:$F$306,"Primary")</f>
        <v>0</v>
      </c>
      <c r="E35" s="11">
        <f>COUNTIFS(Listings!$D$7:$D$306,$A35,Listings!$F$7:$F$306,"&lt;&gt;Primary")</f>
        <v>1</v>
      </c>
      <c r="F35" s="11">
        <f t="shared" si="0"/>
        <v>1</v>
      </c>
    </row>
    <row r="36" spans="1:6" ht="22.95" customHeight="1">
      <c r="A36" s="1" t="s">
        <v>85</v>
      </c>
      <c r="B36" s="1" t="s">
        <v>86</v>
      </c>
      <c r="C36" s="11">
        <f>SUMIFS(Listings!$I$7:$I$306,Listings!$D$7:$D$306,$A36)</f>
        <v>1</v>
      </c>
      <c r="D36" s="11">
        <f>COUNTIFS(Listings!$D$7:$D$306,$A36,Listings!$F$7:$F$306,"Primary")</f>
        <v>1</v>
      </c>
      <c r="E36" s="11">
        <f>COUNTIFS(Listings!$D$7:$D$306,$A36,Listings!$F$7:$F$306,"&lt;&gt;Primary")</f>
        <v>0</v>
      </c>
      <c r="F36" s="11">
        <f t="shared" si="0"/>
        <v>1</v>
      </c>
    </row>
    <row r="37" spans="1:6" ht="22.95" customHeight="1">
      <c r="A37" s="1" t="s">
        <v>87</v>
      </c>
      <c r="B37" s="1" t="s">
        <v>88</v>
      </c>
      <c r="C37" s="11">
        <f>SUMIFS(Listings!$I$7:$I$306,Listings!$D$7:$D$306,$A37)</f>
        <v>1</v>
      </c>
      <c r="D37" s="11">
        <f>COUNTIFS(Listings!$D$7:$D$306,$A37,Listings!$F$7:$F$306,"Primary")</f>
        <v>0</v>
      </c>
      <c r="E37" s="11">
        <f>COUNTIFS(Listings!$D$7:$D$306,$A37,Listings!$F$7:$F$306,"&lt;&gt;Primary")</f>
        <v>1</v>
      </c>
      <c r="F37" s="11">
        <f t="shared" si="0"/>
        <v>1</v>
      </c>
    </row>
    <row r="38" spans="1:6" ht="22.95" customHeight="1">
      <c r="A38" s="1" t="s">
        <v>89</v>
      </c>
      <c r="B38" s="1" t="s">
        <v>90</v>
      </c>
      <c r="C38" s="11">
        <f>SUMIFS(Listings!$I$7:$I$306,Listings!$D$7:$D$306,$A38)</f>
        <v>1</v>
      </c>
      <c r="D38" s="11">
        <f>COUNTIFS(Listings!$D$7:$D$306,$A38,Listings!$F$7:$F$306,"Primary")</f>
        <v>1</v>
      </c>
      <c r="E38" s="11">
        <f>COUNTIFS(Listings!$D$7:$D$306,$A38,Listings!$F$7:$F$306,"&lt;&gt;Primary")</f>
        <v>0</v>
      </c>
      <c r="F38" s="11">
        <f t="shared" si="0"/>
        <v>1</v>
      </c>
    </row>
    <row r="39" spans="1:6" ht="22.95" customHeight="1">
      <c r="A39" s="1" t="s">
        <v>91</v>
      </c>
      <c r="B39" s="1" t="s">
        <v>92</v>
      </c>
      <c r="C39" s="11">
        <f>SUMIFS(Listings!$I$7:$I$306,Listings!$D$7:$D$306,$A39)</f>
        <v>1</v>
      </c>
      <c r="D39" s="11">
        <f>COUNTIFS(Listings!$D$7:$D$306,$A39,Listings!$F$7:$F$306,"Primary")</f>
        <v>1</v>
      </c>
      <c r="E39" s="11">
        <f>COUNTIFS(Listings!$D$7:$D$306,$A39,Listings!$F$7:$F$306,"&lt;&gt;Primary")</f>
        <v>0</v>
      </c>
      <c r="F39" s="11">
        <f t="shared" ref="F39:F70" si="1">SUM(D39:E39)</f>
        <v>1</v>
      </c>
    </row>
    <row r="40" spans="1:6" ht="22.95" customHeight="1">
      <c r="A40" s="1" t="s">
        <v>93</v>
      </c>
      <c r="B40" s="1" t="s">
        <v>94</v>
      </c>
      <c r="C40" s="11">
        <f>SUMIFS(Listings!$I$7:$I$306,Listings!$D$7:$D$306,$A40)</f>
        <v>1</v>
      </c>
      <c r="D40" s="11">
        <f>COUNTIFS(Listings!$D$7:$D$306,$A40,Listings!$F$7:$F$306,"Primary")</f>
        <v>0</v>
      </c>
      <c r="E40" s="11">
        <f>COUNTIFS(Listings!$D$7:$D$306,$A40,Listings!$F$7:$F$306,"&lt;&gt;Primary")</f>
        <v>1</v>
      </c>
      <c r="F40" s="11">
        <f t="shared" si="1"/>
        <v>1</v>
      </c>
    </row>
    <row r="41" spans="1:6" ht="22.95" customHeight="1">
      <c r="A41" s="1" t="s">
        <v>95</v>
      </c>
      <c r="B41" s="1" t="s">
        <v>96</v>
      </c>
      <c r="C41" s="11">
        <f>SUMIFS(Listings!$I$7:$I$306,Listings!$D$7:$D$306,$A41)</f>
        <v>1</v>
      </c>
      <c r="D41" s="11">
        <f>COUNTIFS(Listings!$D$7:$D$306,$A41,Listings!$F$7:$F$306,"Primary")</f>
        <v>0</v>
      </c>
      <c r="E41" s="11">
        <f>COUNTIFS(Listings!$D$7:$D$306,$A41,Listings!$F$7:$F$306,"&lt;&gt;Primary")</f>
        <v>1</v>
      </c>
      <c r="F41" s="11">
        <f t="shared" si="1"/>
        <v>1</v>
      </c>
    </row>
    <row r="42" spans="1:6" ht="22.95" customHeight="1">
      <c r="A42" s="1" t="s">
        <v>97</v>
      </c>
      <c r="B42" s="1" t="s">
        <v>98</v>
      </c>
      <c r="C42" s="11">
        <f>SUMIFS(Listings!$I$7:$I$306,Listings!$D$7:$D$306,$A42)</f>
        <v>1</v>
      </c>
      <c r="D42" s="11">
        <f>COUNTIFS(Listings!$D$7:$D$306,$A42,Listings!$F$7:$F$306,"Primary")</f>
        <v>0</v>
      </c>
      <c r="E42" s="11">
        <f>COUNTIFS(Listings!$D$7:$D$306,$A42,Listings!$F$7:$F$306,"&lt;&gt;Primary")</f>
        <v>1</v>
      </c>
      <c r="F42" s="11">
        <f t="shared" si="1"/>
        <v>1</v>
      </c>
    </row>
    <row r="43" spans="1:6" ht="22.95" customHeight="1">
      <c r="A43" s="1" t="s">
        <v>99</v>
      </c>
      <c r="B43" s="1" t="s">
        <v>100</v>
      </c>
      <c r="C43" s="11">
        <f>SUMIFS(Listings!$I$7:$I$306,Listings!$D$7:$D$306,$A43)</f>
        <v>1</v>
      </c>
      <c r="D43" s="11">
        <f>COUNTIFS(Listings!$D$7:$D$306,$A43,Listings!$F$7:$F$306,"Primary")</f>
        <v>0</v>
      </c>
      <c r="E43" s="11">
        <f>COUNTIFS(Listings!$D$7:$D$306,$A43,Listings!$F$7:$F$306,"&lt;&gt;Primary")</f>
        <v>1</v>
      </c>
      <c r="F43" s="11">
        <f t="shared" si="1"/>
        <v>1</v>
      </c>
    </row>
    <row r="44" spans="1:6" ht="22.95" customHeight="1">
      <c r="A44" s="1" t="s">
        <v>101</v>
      </c>
      <c r="B44" s="1" t="s">
        <v>102</v>
      </c>
      <c r="C44" s="11">
        <f>SUMIFS(Listings!$I$7:$I$306,Listings!$D$7:$D$306,$A44)</f>
        <v>1</v>
      </c>
      <c r="D44" s="11">
        <f>COUNTIFS(Listings!$D$7:$D$306,$A44,Listings!$F$7:$F$306,"Primary")</f>
        <v>1</v>
      </c>
      <c r="E44" s="11">
        <f>COUNTIFS(Listings!$D$7:$D$306,$A44,Listings!$F$7:$F$306,"&lt;&gt;Primary")</f>
        <v>0</v>
      </c>
      <c r="F44" s="11">
        <f t="shared" si="1"/>
        <v>1</v>
      </c>
    </row>
    <row r="45" spans="1:6" ht="22.95" customHeight="1">
      <c r="A45" s="1" t="s">
        <v>103</v>
      </c>
      <c r="B45" s="1" t="s">
        <v>104</v>
      </c>
      <c r="C45" s="11">
        <f>SUMIFS(Listings!$I$7:$I$306,Listings!$D$7:$D$306,$A45)</f>
        <v>1</v>
      </c>
      <c r="D45" s="11">
        <f>COUNTIFS(Listings!$D$7:$D$306,$A45,Listings!$F$7:$F$306,"Primary")</f>
        <v>0</v>
      </c>
      <c r="E45" s="11">
        <f>COUNTIFS(Listings!$D$7:$D$306,$A45,Listings!$F$7:$F$306,"&lt;&gt;Primary")</f>
        <v>1</v>
      </c>
      <c r="F45" s="11">
        <f t="shared" si="1"/>
        <v>1</v>
      </c>
    </row>
    <row r="46" spans="1:6" ht="22.95" customHeight="1">
      <c r="A46" s="1" t="s">
        <v>105</v>
      </c>
      <c r="B46" s="1" t="s">
        <v>106</v>
      </c>
      <c r="C46" s="11">
        <f>SUMIFS(Listings!$I$7:$I$306,Listings!$D$7:$D$306,$A46)</f>
        <v>1</v>
      </c>
      <c r="D46" s="11">
        <f>COUNTIFS(Listings!$D$7:$D$306,$A46,Listings!$F$7:$F$306,"Primary")</f>
        <v>0</v>
      </c>
      <c r="E46" s="11">
        <f>COUNTIFS(Listings!$D$7:$D$306,$A46,Listings!$F$7:$F$306,"&lt;&gt;Primary")</f>
        <v>1</v>
      </c>
      <c r="F46" s="11">
        <f t="shared" si="1"/>
        <v>1</v>
      </c>
    </row>
    <row r="47" spans="1:6" ht="22.95" customHeight="1">
      <c r="A47" s="1" t="s">
        <v>107</v>
      </c>
      <c r="B47" s="1" t="s">
        <v>108</v>
      </c>
      <c r="C47" s="11">
        <f>SUMIFS(Listings!$I$7:$I$306,Listings!$D$7:$D$306,$A47)</f>
        <v>1</v>
      </c>
      <c r="D47" s="11">
        <f>COUNTIFS(Listings!$D$7:$D$306,$A47,Listings!$F$7:$F$306,"Primary")</f>
        <v>0</v>
      </c>
      <c r="E47" s="11">
        <f>COUNTIFS(Listings!$D$7:$D$306,$A47,Listings!$F$7:$F$306,"&lt;&gt;Primary")</f>
        <v>1</v>
      </c>
      <c r="F47" s="11">
        <f t="shared" si="1"/>
        <v>1</v>
      </c>
    </row>
    <row r="48" spans="1:6" ht="22.95" customHeight="1">
      <c r="A48" s="1" t="s">
        <v>109</v>
      </c>
      <c r="B48" s="1" t="s">
        <v>110</v>
      </c>
      <c r="C48" s="11">
        <f>SUMIFS(Listings!$I$7:$I$306,Listings!$D$7:$D$306,$A48)</f>
        <v>1</v>
      </c>
      <c r="D48" s="11">
        <f>COUNTIFS(Listings!$D$7:$D$306,$A48,Listings!$F$7:$F$306,"Primary")</f>
        <v>0</v>
      </c>
      <c r="E48" s="11">
        <f>COUNTIFS(Listings!$D$7:$D$306,$A48,Listings!$F$7:$F$306,"&lt;&gt;Primary")</f>
        <v>1</v>
      </c>
      <c r="F48" s="11">
        <f t="shared" si="1"/>
        <v>1</v>
      </c>
    </row>
    <row r="49" spans="1:6" ht="22.95" customHeight="1">
      <c r="A49" s="1" t="s">
        <v>111</v>
      </c>
      <c r="B49" s="1" t="s">
        <v>112</v>
      </c>
      <c r="C49" s="11">
        <f>SUMIFS(Listings!$I$7:$I$306,Listings!$D$7:$D$306,$A49)</f>
        <v>1</v>
      </c>
      <c r="D49" s="11">
        <f>COUNTIFS(Listings!$D$7:$D$306,$A49,Listings!$F$7:$F$306,"Primary")</f>
        <v>1</v>
      </c>
      <c r="E49" s="11">
        <f>COUNTIFS(Listings!$D$7:$D$306,$A49,Listings!$F$7:$F$306,"&lt;&gt;Primary")</f>
        <v>0</v>
      </c>
      <c r="F49" s="11">
        <f t="shared" si="1"/>
        <v>1</v>
      </c>
    </row>
    <row r="50" spans="1:6" ht="22.95" customHeight="1">
      <c r="A50" s="1" t="s">
        <v>113</v>
      </c>
      <c r="B50" s="1" t="s">
        <v>114</v>
      </c>
      <c r="C50" s="11">
        <f>SUMIFS(Listings!$I$7:$I$306,Listings!$D$7:$D$306,$A50)</f>
        <v>1</v>
      </c>
      <c r="D50" s="11">
        <f>COUNTIFS(Listings!$D$7:$D$306,$A50,Listings!$F$7:$F$306,"Primary")</f>
        <v>1</v>
      </c>
      <c r="E50" s="11">
        <f>COUNTIFS(Listings!$D$7:$D$306,$A50,Listings!$F$7:$F$306,"&lt;&gt;Primary")</f>
        <v>0</v>
      </c>
      <c r="F50" s="11">
        <f t="shared" si="1"/>
        <v>1</v>
      </c>
    </row>
    <row r="51" spans="1:6" ht="22.95" customHeight="1">
      <c r="A51" s="1" t="s">
        <v>115</v>
      </c>
      <c r="B51" s="1" t="s">
        <v>116</v>
      </c>
      <c r="C51" s="11">
        <f>SUMIFS(Listings!$I$7:$I$306,Listings!$D$7:$D$306,$A51)</f>
        <v>1</v>
      </c>
      <c r="D51" s="11">
        <f>COUNTIFS(Listings!$D$7:$D$306,$A51,Listings!$F$7:$F$306,"Primary")</f>
        <v>0</v>
      </c>
      <c r="E51" s="11">
        <f>COUNTIFS(Listings!$D$7:$D$306,$A51,Listings!$F$7:$F$306,"&lt;&gt;Primary")</f>
        <v>1</v>
      </c>
      <c r="F51" s="11">
        <f t="shared" si="1"/>
        <v>1</v>
      </c>
    </row>
    <row r="52" spans="1:6" ht="22.95" customHeight="1">
      <c r="A52" s="1" t="s">
        <v>117</v>
      </c>
      <c r="B52" s="1" t="s">
        <v>118</v>
      </c>
      <c r="C52" s="11">
        <f>SUMIFS(Listings!$I$7:$I$306,Listings!$D$7:$D$306,$A52)</f>
        <v>1</v>
      </c>
      <c r="D52" s="11">
        <f>COUNTIFS(Listings!$D$7:$D$306,$A52,Listings!$F$7:$F$306,"Primary")</f>
        <v>0</v>
      </c>
      <c r="E52" s="11">
        <f>COUNTIFS(Listings!$D$7:$D$306,$A52,Listings!$F$7:$F$306,"&lt;&gt;Primary")</f>
        <v>1</v>
      </c>
      <c r="F52" s="11">
        <f t="shared" si="1"/>
        <v>1</v>
      </c>
    </row>
    <row r="53" spans="1:6" ht="22.95" customHeight="1">
      <c r="A53" s="1" t="s">
        <v>119</v>
      </c>
      <c r="B53" s="1" t="s">
        <v>120</v>
      </c>
      <c r="C53" s="11">
        <f>SUMIFS(Listings!$I$7:$I$306,Listings!$D$7:$D$306,$A53)</f>
        <v>1</v>
      </c>
      <c r="D53" s="11">
        <f>COUNTIFS(Listings!$D$7:$D$306,$A53,Listings!$F$7:$F$306,"Primary")</f>
        <v>0</v>
      </c>
      <c r="E53" s="11">
        <f>COUNTIFS(Listings!$D$7:$D$306,$A53,Listings!$F$7:$F$306,"&lt;&gt;Primary")</f>
        <v>1</v>
      </c>
      <c r="F53" s="11">
        <f t="shared" si="1"/>
        <v>1</v>
      </c>
    </row>
    <row r="54" spans="1:6" ht="22.95" customHeight="1">
      <c r="A54" s="1" t="s">
        <v>121</v>
      </c>
      <c r="B54" s="1" t="s">
        <v>122</v>
      </c>
      <c r="C54" s="11">
        <f>SUMIFS(Listings!$I$7:$I$306,Listings!$D$7:$D$306,$A54)</f>
        <v>1</v>
      </c>
      <c r="D54" s="11">
        <f>COUNTIFS(Listings!$D$7:$D$306,$A54,Listings!$F$7:$F$306,"Primary")</f>
        <v>1</v>
      </c>
      <c r="E54" s="11">
        <f>COUNTIFS(Listings!$D$7:$D$306,$A54,Listings!$F$7:$F$306,"&lt;&gt;Primary")</f>
        <v>0</v>
      </c>
      <c r="F54" s="11">
        <f t="shared" si="1"/>
        <v>1</v>
      </c>
    </row>
    <row r="55" spans="1:6" ht="22.95" customHeight="1">
      <c r="A55" s="1" t="s">
        <v>123</v>
      </c>
      <c r="B55" s="1" t="s">
        <v>124</v>
      </c>
      <c r="C55" s="11">
        <f>SUMIFS(Listings!$I$7:$I$306,Listings!$D$7:$D$306,$A55)</f>
        <v>1</v>
      </c>
      <c r="D55" s="11">
        <f>COUNTIFS(Listings!$D$7:$D$306,$A55,Listings!$F$7:$F$306,"Primary")</f>
        <v>0</v>
      </c>
      <c r="E55" s="11">
        <f>COUNTIFS(Listings!$D$7:$D$306,$A55,Listings!$F$7:$F$306,"&lt;&gt;Primary")</f>
        <v>1</v>
      </c>
      <c r="F55" s="11">
        <f t="shared" si="1"/>
        <v>1</v>
      </c>
    </row>
    <row r="56" spans="1:6" ht="22.95" customHeight="1">
      <c r="A56" s="1" t="s">
        <v>125</v>
      </c>
      <c r="B56" s="1" t="s">
        <v>126</v>
      </c>
      <c r="C56" s="11">
        <f>SUMIFS(Listings!$I$7:$I$306,Listings!$D$7:$D$306,$A56)</f>
        <v>1</v>
      </c>
      <c r="D56" s="11">
        <f>COUNTIFS(Listings!$D$7:$D$306,$A56,Listings!$F$7:$F$306,"Primary")</f>
        <v>0</v>
      </c>
      <c r="E56" s="11">
        <f>COUNTIFS(Listings!$D$7:$D$306,$A56,Listings!$F$7:$F$306,"&lt;&gt;Primary")</f>
        <v>1</v>
      </c>
      <c r="F56" s="11">
        <f t="shared" si="1"/>
        <v>1</v>
      </c>
    </row>
    <row r="57" spans="1:6" ht="22.95" customHeight="1">
      <c r="A57" s="1" t="s">
        <v>127</v>
      </c>
      <c r="B57" s="1" t="s">
        <v>128</v>
      </c>
      <c r="C57" s="11">
        <f>SUMIFS(Listings!$I$7:$I$306,Listings!$D$7:$D$306,$A57)</f>
        <v>1</v>
      </c>
      <c r="D57" s="11">
        <f>COUNTIFS(Listings!$D$7:$D$306,$A57,Listings!$F$7:$F$306,"Primary")</f>
        <v>1</v>
      </c>
      <c r="E57" s="11">
        <f>COUNTIFS(Listings!$D$7:$D$306,$A57,Listings!$F$7:$F$306,"&lt;&gt;Primary")</f>
        <v>0</v>
      </c>
      <c r="F57" s="11">
        <f t="shared" si="1"/>
        <v>1</v>
      </c>
    </row>
    <row r="58" spans="1:6" ht="22.95" customHeight="1">
      <c r="A58" s="1" t="s">
        <v>129</v>
      </c>
      <c r="B58" s="1" t="s">
        <v>130</v>
      </c>
      <c r="C58" s="11">
        <f>SUMIFS(Listings!$I$7:$I$306,Listings!$D$7:$D$306,$A58)</f>
        <v>1</v>
      </c>
      <c r="D58" s="11">
        <f>COUNTIFS(Listings!$D$7:$D$306,$A58,Listings!$F$7:$F$306,"Primary")</f>
        <v>0</v>
      </c>
      <c r="E58" s="11">
        <f>COUNTIFS(Listings!$D$7:$D$306,$A58,Listings!$F$7:$F$306,"&lt;&gt;Primary")</f>
        <v>1</v>
      </c>
      <c r="F58" s="11">
        <f t="shared" si="1"/>
        <v>1</v>
      </c>
    </row>
    <row r="59" spans="1:6" ht="22.95" customHeight="1">
      <c r="A59" s="1" t="s">
        <v>131</v>
      </c>
      <c r="B59" s="1" t="s">
        <v>132</v>
      </c>
      <c r="C59" s="11">
        <f>SUMIFS(Listings!$I$7:$I$306,Listings!$D$7:$D$306,$A59)</f>
        <v>1</v>
      </c>
      <c r="D59" s="11">
        <f>COUNTIFS(Listings!$D$7:$D$306,$A59,Listings!$F$7:$F$306,"Primary")</f>
        <v>1</v>
      </c>
      <c r="E59" s="11">
        <f>COUNTIFS(Listings!$D$7:$D$306,$A59,Listings!$F$7:$F$306,"&lt;&gt;Primary")</f>
        <v>0</v>
      </c>
      <c r="F59" s="11">
        <f t="shared" si="1"/>
        <v>1</v>
      </c>
    </row>
    <row r="60" spans="1:6" ht="22.95" customHeight="1">
      <c r="A60" s="1" t="s">
        <v>133</v>
      </c>
      <c r="B60" s="1" t="s">
        <v>134</v>
      </c>
      <c r="C60" s="11">
        <f>SUMIFS(Listings!$I$7:$I$306,Listings!$D$7:$D$306,$A60)</f>
        <v>1</v>
      </c>
      <c r="D60" s="11">
        <f>COUNTIFS(Listings!$D$7:$D$306,$A60,Listings!$F$7:$F$306,"Primary")</f>
        <v>0</v>
      </c>
      <c r="E60" s="11">
        <f>COUNTIFS(Listings!$D$7:$D$306,$A60,Listings!$F$7:$F$306,"&lt;&gt;Primary")</f>
        <v>1</v>
      </c>
      <c r="F60" s="11">
        <f t="shared" si="1"/>
        <v>1</v>
      </c>
    </row>
    <row r="61" spans="1:6" ht="22.95" customHeight="1">
      <c r="A61" s="1" t="s">
        <v>135</v>
      </c>
      <c r="B61" s="1" t="s">
        <v>136</v>
      </c>
      <c r="C61" s="11">
        <f>SUMIFS(Listings!$I$7:$I$306,Listings!$D$7:$D$306,$A61)</f>
        <v>1</v>
      </c>
      <c r="D61" s="11">
        <f>COUNTIFS(Listings!$D$7:$D$306,$A61,Listings!$F$7:$F$306,"Primary")</f>
        <v>0</v>
      </c>
      <c r="E61" s="11">
        <f>COUNTIFS(Listings!$D$7:$D$306,$A61,Listings!$F$7:$F$306,"&lt;&gt;Primary")</f>
        <v>1</v>
      </c>
      <c r="F61" s="11">
        <f t="shared" si="1"/>
        <v>1</v>
      </c>
    </row>
    <row r="62" spans="1:6" ht="22.95" customHeight="1">
      <c r="A62" s="1" t="s">
        <v>137</v>
      </c>
      <c r="B62" s="1" t="s">
        <v>138</v>
      </c>
      <c r="C62" s="11">
        <f>SUMIFS(Listings!$I$7:$I$306,Listings!$D$7:$D$306,$A62)</f>
        <v>1</v>
      </c>
      <c r="D62" s="11">
        <f>COUNTIFS(Listings!$D$7:$D$306,$A62,Listings!$F$7:$F$306,"Primary")</f>
        <v>0</v>
      </c>
      <c r="E62" s="11">
        <f>COUNTIFS(Listings!$D$7:$D$306,$A62,Listings!$F$7:$F$306,"&lt;&gt;Primary")</f>
        <v>1</v>
      </c>
      <c r="F62" s="11">
        <f t="shared" si="1"/>
        <v>1</v>
      </c>
    </row>
    <row r="63" spans="1:6" ht="22.95" customHeight="1">
      <c r="A63" s="1" t="s">
        <v>139</v>
      </c>
      <c r="B63" s="1" t="s">
        <v>140</v>
      </c>
      <c r="C63" s="11">
        <f>SUMIFS(Listings!$I$7:$I$306,Listings!$D$7:$D$306,$A63)</f>
        <v>1</v>
      </c>
      <c r="D63" s="11">
        <f>COUNTIFS(Listings!$D$7:$D$306,$A63,Listings!$F$7:$F$306,"Primary")</f>
        <v>1</v>
      </c>
      <c r="E63" s="11">
        <f>COUNTIFS(Listings!$D$7:$D$306,$A63,Listings!$F$7:$F$306,"&lt;&gt;Primary")</f>
        <v>0</v>
      </c>
      <c r="F63" s="11">
        <f t="shared" si="1"/>
        <v>1</v>
      </c>
    </row>
    <row r="64" spans="1:6" ht="22.95" customHeight="1">
      <c r="A64" s="1" t="s">
        <v>141</v>
      </c>
      <c r="B64" s="1" t="s">
        <v>142</v>
      </c>
      <c r="C64" s="11">
        <f>SUMIFS(Listings!$I$7:$I$306,Listings!$D$7:$D$306,$A64)</f>
        <v>1</v>
      </c>
      <c r="D64" s="11">
        <f>COUNTIFS(Listings!$D$7:$D$306,$A64,Listings!$F$7:$F$306,"Primary")</f>
        <v>0</v>
      </c>
      <c r="E64" s="11">
        <f>COUNTIFS(Listings!$D$7:$D$306,$A64,Listings!$F$7:$F$306,"&lt;&gt;Primary")</f>
        <v>1</v>
      </c>
      <c r="F64" s="11">
        <f t="shared" si="1"/>
        <v>1</v>
      </c>
    </row>
    <row r="65" spans="1:6" ht="22.95" customHeight="1">
      <c r="A65" s="1" t="s">
        <v>143</v>
      </c>
      <c r="B65" s="1" t="s">
        <v>144</v>
      </c>
      <c r="C65" s="11">
        <f>SUMIFS(Listings!$I$7:$I$306,Listings!$D$7:$D$306,$A65)</f>
        <v>1</v>
      </c>
      <c r="D65" s="11">
        <f>COUNTIFS(Listings!$D$7:$D$306,$A65,Listings!$F$7:$F$306,"Primary")</f>
        <v>0</v>
      </c>
      <c r="E65" s="11">
        <f>COUNTIFS(Listings!$D$7:$D$306,$A65,Listings!$F$7:$F$306,"&lt;&gt;Primary")</f>
        <v>1</v>
      </c>
      <c r="F65" s="11">
        <f t="shared" si="1"/>
        <v>1</v>
      </c>
    </row>
    <row r="66" spans="1:6" ht="22.95" customHeight="1">
      <c r="A66" s="1" t="s">
        <v>145</v>
      </c>
      <c r="B66" s="1" t="s">
        <v>146</v>
      </c>
      <c r="C66" s="11">
        <f>SUMIFS(Listings!$I$7:$I$306,Listings!$D$7:$D$306,$A66)</f>
        <v>1</v>
      </c>
      <c r="D66" s="11">
        <f>COUNTIFS(Listings!$D$7:$D$306,$A66,Listings!$F$7:$F$306,"Primary")</f>
        <v>0</v>
      </c>
      <c r="E66" s="11">
        <f>COUNTIFS(Listings!$D$7:$D$306,$A66,Listings!$F$7:$F$306,"&lt;&gt;Primary")</f>
        <v>1</v>
      </c>
      <c r="F66" s="11">
        <f t="shared" si="1"/>
        <v>1</v>
      </c>
    </row>
    <row r="67" spans="1:6" ht="22.95" customHeight="1">
      <c r="A67" s="1" t="s">
        <v>147</v>
      </c>
      <c r="B67" s="1" t="s">
        <v>148</v>
      </c>
      <c r="C67" s="11">
        <f>SUMIFS(Listings!$I$7:$I$306,Listings!$D$7:$D$306,$A67)</f>
        <v>1</v>
      </c>
      <c r="D67" s="11">
        <f>COUNTIFS(Listings!$D$7:$D$306,$A67,Listings!$F$7:$F$306,"Primary")</f>
        <v>0</v>
      </c>
      <c r="E67" s="11">
        <f>COUNTIFS(Listings!$D$7:$D$306,$A67,Listings!$F$7:$F$306,"&lt;&gt;Primary")</f>
        <v>1</v>
      </c>
      <c r="F67" s="11">
        <f t="shared" si="1"/>
        <v>1</v>
      </c>
    </row>
    <row r="68" spans="1:6" ht="22.95" customHeight="1">
      <c r="A68" s="1" t="s">
        <v>149</v>
      </c>
      <c r="B68" s="1" t="s">
        <v>150</v>
      </c>
      <c r="C68" s="11">
        <f>SUMIFS(Listings!$I$7:$I$306,Listings!$D$7:$D$306,$A68)</f>
        <v>1</v>
      </c>
      <c r="D68" s="11">
        <f>COUNTIFS(Listings!$D$7:$D$306,$A68,Listings!$F$7:$F$306,"Primary")</f>
        <v>0</v>
      </c>
      <c r="E68" s="11">
        <f>COUNTIFS(Listings!$D$7:$D$306,$A68,Listings!$F$7:$F$306,"&lt;&gt;Primary")</f>
        <v>1</v>
      </c>
      <c r="F68" s="11">
        <f t="shared" si="1"/>
        <v>1</v>
      </c>
    </row>
    <row r="69" spans="1:6" ht="22.95" customHeight="1">
      <c r="A69" s="1" t="s">
        <v>151</v>
      </c>
      <c r="B69" s="1" t="s">
        <v>152</v>
      </c>
      <c r="C69" s="11">
        <f>SUMIFS(Listings!$I$7:$I$306,Listings!$D$7:$D$306,$A69)</f>
        <v>1</v>
      </c>
      <c r="D69" s="11">
        <f>COUNTIFS(Listings!$D$7:$D$306,$A69,Listings!$F$7:$F$306,"Primary")</f>
        <v>0</v>
      </c>
      <c r="E69" s="11">
        <f>COUNTIFS(Listings!$D$7:$D$306,$A69,Listings!$F$7:$F$306,"&lt;&gt;Primary")</f>
        <v>1</v>
      </c>
      <c r="F69" s="11">
        <f t="shared" si="1"/>
        <v>1</v>
      </c>
    </row>
    <row r="70" spans="1:6" ht="22.95" customHeight="1">
      <c r="A70" s="1" t="s">
        <v>153</v>
      </c>
      <c r="B70" s="1" t="s">
        <v>154</v>
      </c>
      <c r="C70" s="11">
        <f>SUMIFS(Listings!$I$7:$I$306,Listings!$D$7:$D$306,$A70)</f>
        <v>1</v>
      </c>
      <c r="D70" s="11">
        <f>COUNTIFS(Listings!$D$7:$D$306,$A70,Listings!$F$7:$F$306,"Primary")</f>
        <v>0</v>
      </c>
      <c r="E70" s="11">
        <f>COUNTIFS(Listings!$D$7:$D$306,$A70,Listings!$F$7:$F$306,"&lt;&gt;Primary")</f>
        <v>1</v>
      </c>
      <c r="F70" s="11">
        <f t="shared" si="1"/>
        <v>1</v>
      </c>
    </row>
    <row r="71" spans="1:6" ht="22.95" customHeight="1">
      <c r="A71" s="1" t="s">
        <v>155</v>
      </c>
      <c r="B71" s="1" t="s">
        <v>156</v>
      </c>
      <c r="C71" s="11">
        <f>SUMIFS(Listings!$I$7:$I$306,Listings!$D$7:$D$306,$A71)</f>
        <v>1</v>
      </c>
      <c r="D71" s="11">
        <f>COUNTIFS(Listings!$D$7:$D$306,$A71,Listings!$F$7:$F$306,"Primary")</f>
        <v>0</v>
      </c>
      <c r="E71" s="11">
        <f>COUNTIFS(Listings!$D$7:$D$306,$A71,Listings!$F$7:$F$306,"&lt;&gt;Primary")</f>
        <v>1</v>
      </c>
      <c r="F71" s="11">
        <f t="shared" ref="F71:F102" si="2">SUM(D71:E71)</f>
        <v>1</v>
      </c>
    </row>
    <row r="72" spans="1:6" ht="22.95" customHeight="1">
      <c r="A72" s="1" t="s">
        <v>157</v>
      </c>
      <c r="B72" s="1" t="s">
        <v>158</v>
      </c>
      <c r="C72" s="11">
        <f>SUMIFS(Listings!$I$7:$I$306,Listings!$D$7:$D$306,$A72)</f>
        <v>1</v>
      </c>
      <c r="D72" s="11">
        <f>COUNTIFS(Listings!$D$7:$D$306,$A72,Listings!$F$7:$F$306,"Primary")</f>
        <v>0</v>
      </c>
      <c r="E72" s="11">
        <f>COUNTIFS(Listings!$D$7:$D$306,$A72,Listings!$F$7:$F$306,"&lt;&gt;Primary")</f>
        <v>1</v>
      </c>
      <c r="F72" s="11">
        <f t="shared" si="2"/>
        <v>1</v>
      </c>
    </row>
    <row r="73" spans="1:6" ht="22.95" customHeight="1">
      <c r="A73" s="1" t="s">
        <v>159</v>
      </c>
      <c r="B73" s="1" t="s">
        <v>160</v>
      </c>
      <c r="C73" s="11">
        <f>SUMIFS(Listings!$I$7:$I$306,Listings!$D$7:$D$306,$A73)</f>
        <v>1</v>
      </c>
      <c r="D73" s="11">
        <f>COUNTIFS(Listings!$D$7:$D$306,$A73,Listings!$F$7:$F$306,"Primary")</f>
        <v>0</v>
      </c>
      <c r="E73" s="11">
        <f>COUNTIFS(Listings!$D$7:$D$306,$A73,Listings!$F$7:$F$306,"&lt;&gt;Primary")</f>
        <v>1</v>
      </c>
      <c r="F73" s="11">
        <f t="shared" si="2"/>
        <v>1</v>
      </c>
    </row>
    <row r="74" spans="1:6" ht="22.95" customHeight="1">
      <c r="A74" s="1" t="s">
        <v>161</v>
      </c>
      <c r="B74" s="1" t="s">
        <v>162</v>
      </c>
      <c r="C74" s="11">
        <f>SUMIFS(Listings!$I$7:$I$306,Listings!$D$7:$D$306,$A74)</f>
        <v>1</v>
      </c>
      <c r="D74" s="11">
        <f>COUNTIFS(Listings!$D$7:$D$306,$A74,Listings!$F$7:$F$306,"Primary")</f>
        <v>1</v>
      </c>
      <c r="E74" s="11">
        <f>COUNTIFS(Listings!$D$7:$D$306,$A74,Listings!$F$7:$F$306,"&lt;&gt;Primary")</f>
        <v>0</v>
      </c>
      <c r="F74" s="11">
        <f t="shared" si="2"/>
        <v>1</v>
      </c>
    </row>
    <row r="75" spans="1:6" ht="22.95" customHeight="1">
      <c r="A75" s="1" t="s">
        <v>163</v>
      </c>
      <c r="B75" s="1" t="s">
        <v>164</v>
      </c>
      <c r="C75" s="11">
        <f>SUMIFS(Listings!$I$7:$I$306,Listings!$D$7:$D$306,$A75)</f>
        <v>1</v>
      </c>
      <c r="D75" s="11">
        <f>COUNTIFS(Listings!$D$7:$D$306,$A75,Listings!$F$7:$F$306,"Primary")</f>
        <v>1</v>
      </c>
      <c r="E75" s="11">
        <f>COUNTIFS(Listings!$D$7:$D$306,$A75,Listings!$F$7:$F$306,"&lt;&gt;Primary")</f>
        <v>0</v>
      </c>
      <c r="F75" s="11">
        <f t="shared" si="2"/>
        <v>1</v>
      </c>
    </row>
    <row r="76" spans="1:6" ht="22.95" customHeight="1">
      <c r="A76" s="1" t="s">
        <v>165</v>
      </c>
      <c r="B76" s="1" t="s">
        <v>166</v>
      </c>
      <c r="C76" s="11">
        <f>SUMIFS(Listings!$I$7:$I$306,Listings!$D$7:$D$306,$A76)</f>
        <v>1</v>
      </c>
      <c r="D76" s="11">
        <f>COUNTIFS(Listings!$D$7:$D$306,$A76,Listings!$F$7:$F$306,"Primary")</f>
        <v>1</v>
      </c>
      <c r="E76" s="11">
        <f>COUNTIFS(Listings!$D$7:$D$306,$A76,Listings!$F$7:$F$306,"&lt;&gt;Primary")</f>
        <v>0</v>
      </c>
      <c r="F76" s="11">
        <f t="shared" si="2"/>
        <v>1</v>
      </c>
    </row>
    <row r="77" spans="1:6" ht="22.95" customHeight="1">
      <c r="A77" s="1" t="s">
        <v>167</v>
      </c>
      <c r="B77" s="1" t="s">
        <v>168</v>
      </c>
      <c r="C77" s="11">
        <f>SUMIFS(Listings!$I$7:$I$306,Listings!$D$7:$D$306,$A77)</f>
        <v>1</v>
      </c>
      <c r="D77" s="11">
        <f>COUNTIFS(Listings!$D$7:$D$306,$A77,Listings!$F$7:$F$306,"Primary")</f>
        <v>0</v>
      </c>
      <c r="E77" s="11">
        <f>COUNTIFS(Listings!$D$7:$D$306,$A77,Listings!$F$7:$F$306,"&lt;&gt;Primary")</f>
        <v>1</v>
      </c>
      <c r="F77" s="11">
        <f t="shared" si="2"/>
        <v>1</v>
      </c>
    </row>
    <row r="78" spans="1:6" ht="22.95" customHeight="1">
      <c r="A78" s="1" t="s">
        <v>169</v>
      </c>
      <c r="B78" s="1" t="s">
        <v>170</v>
      </c>
      <c r="C78" s="11">
        <f>SUMIFS(Listings!$I$7:$I$306,Listings!$D$7:$D$306,$A78)</f>
        <v>1</v>
      </c>
      <c r="D78" s="11">
        <f>COUNTIFS(Listings!$D$7:$D$306,$A78,Listings!$F$7:$F$306,"Primary")</f>
        <v>0</v>
      </c>
      <c r="E78" s="11">
        <f>COUNTIFS(Listings!$D$7:$D$306,$A78,Listings!$F$7:$F$306,"&lt;&gt;Primary")</f>
        <v>1</v>
      </c>
      <c r="F78" s="11">
        <f t="shared" si="2"/>
        <v>1</v>
      </c>
    </row>
    <row r="79" spans="1:6" ht="22.95" customHeight="1">
      <c r="A79" s="1" t="s">
        <v>171</v>
      </c>
      <c r="B79" s="1" t="s">
        <v>172</v>
      </c>
      <c r="C79" s="11">
        <f>SUMIFS(Listings!$I$7:$I$306,Listings!$D$7:$D$306,$A79)</f>
        <v>1</v>
      </c>
      <c r="D79" s="11">
        <f>COUNTIFS(Listings!$D$7:$D$306,$A79,Listings!$F$7:$F$306,"Primary")</f>
        <v>0</v>
      </c>
      <c r="E79" s="11">
        <f>COUNTIFS(Listings!$D$7:$D$306,$A79,Listings!$F$7:$F$306,"&lt;&gt;Primary")</f>
        <v>1</v>
      </c>
      <c r="F79" s="11">
        <f t="shared" si="2"/>
        <v>1</v>
      </c>
    </row>
    <row r="80" spans="1:6" ht="22.95" customHeight="1">
      <c r="A80" s="1" t="s">
        <v>173</v>
      </c>
      <c r="B80" s="1" t="s">
        <v>174</v>
      </c>
      <c r="C80" s="11">
        <f>SUMIFS(Listings!$I$7:$I$306,Listings!$D$7:$D$306,$A80)</f>
        <v>1</v>
      </c>
      <c r="D80" s="11">
        <f>COUNTIFS(Listings!$D$7:$D$306,$A80,Listings!$F$7:$F$306,"Primary")</f>
        <v>0</v>
      </c>
      <c r="E80" s="11">
        <f>COUNTIFS(Listings!$D$7:$D$306,$A80,Listings!$F$7:$F$306,"&lt;&gt;Primary")</f>
        <v>1</v>
      </c>
      <c r="F80" s="11">
        <f t="shared" si="2"/>
        <v>1</v>
      </c>
    </row>
    <row r="81" spans="1:6" ht="22.95" customHeight="1">
      <c r="A81" s="1" t="s">
        <v>175</v>
      </c>
      <c r="B81" s="1" t="s">
        <v>176</v>
      </c>
      <c r="C81" s="11">
        <f>SUMIFS(Listings!$I$7:$I$306,Listings!$D$7:$D$306,$A81)</f>
        <v>1</v>
      </c>
      <c r="D81" s="11">
        <f>COUNTIFS(Listings!$D$7:$D$306,$A81,Listings!$F$7:$F$306,"Primary")</f>
        <v>0</v>
      </c>
      <c r="E81" s="11">
        <f>COUNTIFS(Listings!$D$7:$D$306,$A81,Listings!$F$7:$F$306,"&lt;&gt;Primary")</f>
        <v>1</v>
      </c>
      <c r="F81" s="11">
        <f t="shared" si="2"/>
        <v>1</v>
      </c>
    </row>
    <row r="82" spans="1:6" ht="22.95" customHeight="1">
      <c r="A82" s="1" t="s">
        <v>177</v>
      </c>
      <c r="B82" s="1" t="s">
        <v>178</v>
      </c>
      <c r="C82" s="11">
        <f>SUMIFS(Listings!$I$7:$I$306,Listings!$D$7:$D$306,$A82)</f>
        <v>1</v>
      </c>
      <c r="D82" s="11">
        <f>COUNTIFS(Listings!$D$7:$D$306,$A82,Listings!$F$7:$F$306,"Primary")</f>
        <v>1</v>
      </c>
      <c r="E82" s="11">
        <f>COUNTIFS(Listings!$D$7:$D$306,$A82,Listings!$F$7:$F$306,"&lt;&gt;Primary")</f>
        <v>0</v>
      </c>
      <c r="F82" s="11">
        <f t="shared" si="2"/>
        <v>1</v>
      </c>
    </row>
    <row r="83" spans="1:6" ht="22.95" customHeight="1">
      <c r="A83" s="1" t="s">
        <v>179</v>
      </c>
      <c r="B83" s="1" t="s">
        <v>180</v>
      </c>
      <c r="C83" s="11">
        <f>SUMIFS(Listings!$I$7:$I$306,Listings!$D$7:$D$306,$A83)</f>
        <v>1</v>
      </c>
      <c r="D83" s="11">
        <f>COUNTIFS(Listings!$D$7:$D$306,$A83,Listings!$F$7:$F$306,"Primary")</f>
        <v>0</v>
      </c>
      <c r="E83" s="11">
        <f>COUNTIFS(Listings!$D$7:$D$306,$A83,Listings!$F$7:$F$306,"&lt;&gt;Primary")</f>
        <v>1</v>
      </c>
      <c r="F83" s="11">
        <f t="shared" si="2"/>
        <v>1</v>
      </c>
    </row>
    <row r="84" spans="1:6" ht="22.95" customHeight="1">
      <c r="A84" s="1" t="s">
        <v>181</v>
      </c>
      <c r="B84" s="1" t="s">
        <v>182</v>
      </c>
      <c r="C84" s="11">
        <f>SUMIFS(Listings!$I$7:$I$306,Listings!$D$7:$D$306,$A84)</f>
        <v>1</v>
      </c>
      <c r="D84" s="11">
        <f>COUNTIFS(Listings!$D$7:$D$306,$A84,Listings!$F$7:$F$306,"Primary")</f>
        <v>0</v>
      </c>
      <c r="E84" s="11">
        <f>COUNTIFS(Listings!$D$7:$D$306,$A84,Listings!$F$7:$F$306,"&lt;&gt;Primary")</f>
        <v>1</v>
      </c>
      <c r="F84" s="11">
        <f t="shared" si="2"/>
        <v>1</v>
      </c>
    </row>
    <row r="85" spans="1:6" ht="22.95" customHeight="1">
      <c r="A85" s="1" t="s">
        <v>183</v>
      </c>
      <c r="B85" s="1" t="s">
        <v>184</v>
      </c>
      <c r="C85" s="11">
        <f>SUMIFS(Listings!$I$7:$I$306,Listings!$D$7:$D$306,$A85)</f>
        <v>1</v>
      </c>
      <c r="D85" s="11">
        <f>COUNTIFS(Listings!$D$7:$D$306,$A85,Listings!$F$7:$F$306,"Primary")</f>
        <v>0</v>
      </c>
      <c r="E85" s="11">
        <f>COUNTIFS(Listings!$D$7:$D$306,$A85,Listings!$F$7:$F$306,"&lt;&gt;Primary")</f>
        <v>1</v>
      </c>
      <c r="F85" s="11">
        <f t="shared" si="2"/>
        <v>1</v>
      </c>
    </row>
    <row r="86" spans="1:6" ht="22.95" customHeight="1">
      <c r="A86" s="1" t="s">
        <v>185</v>
      </c>
      <c r="B86" s="1" t="s">
        <v>186</v>
      </c>
      <c r="C86" s="11">
        <f>SUMIFS(Listings!$I$7:$I$306,Listings!$D$7:$D$306,$A86)</f>
        <v>1</v>
      </c>
      <c r="D86" s="11">
        <f>COUNTIFS(Listings!$D$7:$D$306,$A86,Listings!$F$7:$F$306,"Primary")</f>
        <v>0</v>
      </c>
      <c r="E86" s="11">
        <f>COUNTIFS(Listings!$D$7:$D$306,$A86,Listings!$F$7:$F$306,"&lt;&gt;Primary")</f>
        <v>1</v>
      </c>
      <c r="F86" s="11">
        <f t="shared" si="2"/>
        <v>1</v>
      </c>
    </row>
    <row r="87" spans="1:6" ht="22.95" customHeight="1">
      <c r="A87" s="1" t="s">
        <v>187</v>
      </c>
      <c r="B87" s="1" t="s">
        <v>188</v>
      </c>
      <c r="C87" s="11">
        <f>SUMIFS(Listings!$I$7:$I$306,Listings!$D$7:$D$306,$A87)</f>
        <v>1</v>
      </c>
      <c r="D87" s="11">
        <f>COUNTIFS(Listings!$D$7:$D$306,$A87,Listings!$F$7:$F$306,"Primary")</f>
        <v>0</v>
      </c>
      <c r="E87" s="11">
        <f>COUNTIFS(Listings!$D$7:$D$306,$A87,Listings!$F$7:$F$306,"&lt;&gt;Primary")</f>
        <v>1</v>
      </c>
      <c r="F87" s="11">
        <f t="shared" si="2"/>
        <v>1</v>
      </c>
    </row>
    <row r="88" spans="1:6" ht="22.95" customHeight="1">
      <c r="A88" s="1" t="s">
        <v>189</v>
      </c>
      <c r="B88" s="1" t="s">
        <v>190</v>
      </c>
      <c r="C88" s="11">
        <f>SUMIFS(Listings!$I$7:$I$306,Listings!$D$7:$D$306,$A88)</f>
        <v>1</v>
      </c>
      <c r="D88" s="11">
        <f>COUNTIFS(Listings!$D$7:$D$306,$A88,Listings!$F$7:$F$306,"Primary")</f>
        <v>1</v>
      </c>
      <c r="E88" s="11">
        <f>COUNTIFS(Listings!$D$7:$D$306,$A88,Listings!$F$7:$F$306,"&lt;&gt;Primary")</f>
        <v>0</v>
      </c>
      <c r="F88" s="11">
        <f t="shared" si="2"/>
        <v>1</v>
      </c>
    </row>
    <row r="89" spans="1:6" ht="22.95" customHeight="1">
      <c r="A89" s="1" t="s">
        <v>191</v>
      </c>
      <c r="B89" s="1" t="s">
        <v>192</v>
      </c>
      <c r="C89" s="11">
        <f>SUMIFS(Listings!$I$7:$I$306,Listings!$D$7:$D$306,$A89)</f>
        <v>1</v>
      </c>
      <c r="D89" s="11">
        <f>COUNTIFS(Listings!$D$7:$D$306,$A89,Listings!$F$7:$F$306,"Primary")</f>
        <v>0</v>
      </c>
      <c r="E89" s="11">
        <f>COUNTIFS(Listings!$D$7:$D$306,$A89,Listings!$F$7:$F$306,"&lt;&gt;Primary")</f>
        <v>1</v>
      </c>
      <c r="F89" s="11">
        <f t="shared" si="2"/>
        <v>1</v>
      </c>
    </row>
    <row r="90" spans="1:6" ht="22.95" customHeight="1">
      <c r="A90" s="1" t="s">
        <v>193</v>
      </c>
      <c r="B90" s="1" t="s">
        <v>194</v>
      </c>
      <c r="C90" s="11">
        <f>SUMIFS(Listings!$I$7:$I$306,Listings!$D$7:$D$306,$A90)</f>
        <v>1</v>
      </c>
      <c r="D90" s="11">
        <f>COUNTIFS(Listings!$D$7:$D$306,$A90,Listings!$F$7:$F$306,"Primary")</f>
        <v>1</v>
      </c>
      <c r="E90" s="11">
        <f>COUNTIFS(Listings!$D$7:$D$306,$A90,Listings!$F$7:$F$306,"&lt;&gt;Primary")</f>
        <v>0</v>
      </c>
      <c r="F90" s="11">
        <f t="shared" si="2"/>
        <v>1</v>
      </c>
    </row>
    <row r="91" spans="1:6" ht="22.95" customHeight="1">
      <c r="A91" s="1" t="s">
        <v>195</v>
      </c>
      <c r="B91" s="1" t="s">
        <v>196</v>
      </c>
      <c r="C91" s="11">
        <f>SUMIFS(Listings!$I$7:$I$306,Listings!$D$7:$D$306,$A91)</f>
        <v>1</v>
      </c>
      <c r="D91" s="11">
        <f>COUNTIFS(Listings!$D$7:$D$306,$A91,Listings!$F$7:$F$306,"Primary")</f>
        <v>0</v>
      </c>
      <c r="E91" s="11">
        <f>COUNTIFS(Listings!$D$7:$D$306,$A91,Listings!$F$7:$F$306,"&lt;&gt;Primary")</f>
        <v>1</v>
      </c>
      <c r="F91" s="11">
        <f t="shared" si="2"/>
        <v>1</v>
      </c>
    </row>
    <row r="92" spans="1:6" ht="22.95" customHeight="1">
      <c r="A92" s="1" t="s">
        <v>197</v>
      </c>
      <c r="B92" s="1" t="s">
        <v>198</v>
      </c>
      <c r="C92" s="11">
        <f>SUMIFS(Listings!$I$7:$I$306,Listings!$D$7:$D$306,$A92)</f>
        <v>1</v>
      </c>
      <c r="D92" s="11">
        <f>COUNTIFS(Listings!$D$7:$D$306,$A92,Listings!$F$7:$F$306,"Primary")</f>
        <v>0</v>
      </c>
      <c r="E92" s="11">
        <f>COUNTIFS(Listings!$D$7:$D$306,$A92,Listings!$F$7:$F$306,"&lt;&gt;Primary")</f>
        <v>1</v>
      </c>
      <c r="F92" s="11">
        <f t="shared" si="2"/>
        <v>1</v>
      </c>
    </row>
    <row r="93" spans="1:6" ht="22.95" customHeight="1">
      <c r="A93" s="1" t="s">
        <v>199</v>
      </c>
      <c r="B93" s="1" t="s">
        <v>200</v>
      </c>
      <c r="C93" s="11">
        <f>SUMIFS(Listings!$I$7:$I$306,Listings!$D$7:$D$306,$A93)</f>
        <v>1</v>
      </c>
      <c r="D93" s="11">
        <f>COUNTIFS(Listings!$D$7:$D$306,$A93,Listings!$F$7:$F$306,"Primary")</f>
        <v>1</v>
      </c>
      <c r="E93" s="11">
        <f>COUNTIFS(Listings!$D$7:$D$306,$A93,Listings!$F$7:$F$306,"&lt;&gt;Primary")</f>
        <v>0</v>
      </c>
      <c r="F93" s="11">
        <f t="shared" si="2"/>
        <v>1</v>
      </c>
    </row>
    <row r="94" spans="1:6" ht="22.95" customHeight="1">
      <c r="A94" s="1" t="s">
        <v>201</v>
      </c>
      <c r="B94" s="1" t="s">
        <v>202</v>
      </c>
      <c r="C94" s="11">
        <f>SUMIFS(Listings!$I$7:$I$306,Listings!$D$7:$D$306,$A94)</f>
        <v>1</v>
      </c>
      <c r="D94" s="11">
        <f>COUNTIFS(Listings!$D$7:$D$306,$A94,Listings!$F$7:$F$306,"Primary")</f>
        <v>1</v>
      </c>
      <c r="E94" s="11">
        <f>COUNTIFS(Listings!$D$7:$D$306,$A94,Listings!$F$7:$F$306,"&lt;&gt;Primary")</f>
        <v>0</v>
      </c>
      <c r="F94" s="11">
        <f t="shared" si="2"/>
        <v>1</v>
      </c>
    </row>
    <row r="95" spans="1:6" ht="22.95" customHeight="1">
      <c r="A95" s="1" t="s">
        <v>203</v>
      </c>
      <c r="B95" s="1" t="s">
        <v>204</v>
      </c>
      <c r="C95" s="11">
        <f>SUMIFS(Listings!$I$7:$I$306,Listings!$D$7:$D$306,$A95)</f>
        <v>1</v>
      </c>
      <c r="D95" s="11">
        <f>COUNTIFS(Listings!$D$7:$D$306,$A95,Listings!$F$7:$F$306,"Primary")</f>
        <v>1</v>
      </c>
      <c r="E95" s="11">
        <f>COUNTIFS(Listings!$D$7:$D$306,$A95,Listings!$F$7:$F$306,"&lt;&gt;Primary")</f>
        <v>0</v>
      </c>
      <c r="F95" s="11">
        <f t="shared" si="2"/>
        <v>1</v>
      </c>
    </row>
    <row r="96" spans="1:6" ht="22.95" customHeight="1">
      <c r="A96" s="1" t="s">
        <v>205</v>
      </c>
      <c r="B96" s="1" t="s">
        <v>206</v>
      </c>
      <c r="C96" s="11">
        <f>SUMIFS(Listings!$I$7:$I$306,Listings!$D$7:$D$306,$A96)</f>
        <v>1</v>
      </c>
      <c r="D96" s="11">
        <f>COUNTIFS(Listings!$D$7:$D$306,$A96,Listings!$F$7:$F$306,"Primary")</f>
        <v>0</v>
      </c>
      <c r="E96" s="11">
        <f>COUNTIFS(Listings!$D$7:$D$306,$A96,Listings!$F$7:$F$306,"&lt;&gt;Primary")</f>
        <v>1</v>
      </c>
      <c r="F96" s="11">
        <f t="shared" si="2"/>
        <v>1</v>
      </c>
    </row>
    <row r="97" spans="1:6" ht="22.95" customHeight="1">
      <c r="A97" s="1" t="s">
        <v>207</v>
      </c>
      <c r="B97" s="1" t="s">
        <v>208</v>
      </c>
      <c r="C97" s="11">
        <f>SUMIFS(Listings!$I$7:$I$306,Listings!$D$7:$D$306,$A97)</f>
        <v>1</v>
      </c>
      <c r="D97" s="11">
        <f>COUNTIFS(Listings!$D$7:$D$306,$A97,Listings!$F$7:$F$306,"Primary")</f>
        <v>1</v>
      </c>
      <c r="E97" s="11">
        <f>COUNTIFS(Listings!$D$7:$D$306,$A97,Listings!$F$7:$F$306,"&lt;&gt;Primary")</f>
        <v>0</v>
      </c>
      <c r="F97" s="11">
        <f t="shared" si="2"/>
        <v>1</v>
      </c>
    </row>
    <row r="98" spans="1:6" ht="22.95" customHeight="1">
      <c r="A98" s="1" t="s">
        <v>209</v>
      </c>
      <c r="B98" s="1" t="s">
        <v>210</v>
      </c>
      <c r="C98" s="11">
        <f>SUMIFS(Listings!$I$7:$I$306,Listings!$D$7:$D$306,$A98)</f>
        <v>1</v>
      </c>
      <c r="D98" s="11">
        <f>COUNTIFS(Listings!$D$7:$D$306,$A98,Listings!$F$7:$F$306,"Primary")</f>
        <v>0</v>
      </c>
      <c r="E98" s="11">
        <f>COUNTIFS(Listings!$D$7:$D$306,$A98,Listings!$F$7:$F$306,"&lt;&gt;Primary")</f>
        <v>1</v>
      </c>
      <c r="F98" s="11">
        <f t="shared" si="2"/>
        <v>1</v>
      </c>
    </row>
    <row r="99" spans="1:6" ht="22.95" customHeight="1">
      <c r="A99" s="1" t="s">
        <v>211</v>
      </c>
      <c r="B99" s="1" t="s">
        <v>212</v>
      </c>
      <c r="C99" s="11">
        <f>SUMIFS(Listings!$I$7:$I$306,Listings!$D$7:$D$306,$A99)</f>
        <v>1</v>
      </c>
      <c r="D99" s="11">
        <f>COUNTIFS(Listings!$D$7:$D$306,$A99,Listings!$F$7:$F$306,"Primary")</f>
        <v>0</v>
      </c>
      <c r="E99" s="11">
        <f>COUNTIFS(Listings!$D$7:$D$306,$A99,Listings!$F$7:$F$306,"&lt;&gt;Primary")</f>
        <v>1</v>
      </c>
      <c r="F99" s="11">
        <f t="shared" si="2"/>
        <v>1</v>
      </c>
    </row>
    <row r="100" spans="1:6" ht="22.95" customHeight="1">
      <c r="A100" s="1" t="s">
        <v>213</v>
      </c>
      <c r="B100" s="1" t="s">
        <v>214</v>
      </c>
      <c r="C100" s="11">
        <f>SUMIFS(Listings!$I$7:$I$306,Listings!$D$7:$D$306,$A100)</f>
        <v>1</v>
      </c>
      <c r="D100" s="11">
        <f>COUNTIFS(Listings!$D$7:$D$306,$A100,Listings!$F$7:$F$306,"Primary")</f>
        <v>1</v>
      </c>
      <c r="E100" s="11">
        <f>COUNTIFS(Listings!$D$7:$D$306,$A100,Listings!$F$7:$F$306,"&lt;&gt;Primary")</f>
        <v>0</v>
      </c>
      <c r="F100" s="11">
        <f t="shared" si="2"/>
        <v>1</v>
      </c>
    </row>
    <row r="101" spans="1:6" ht="22.95" customHeight="1">
      <c r="A101" s="1" t="s">
        <v>215</v>
      </c>
      <c r="B101" s="1" t="s">
        <v>216</v>
      </c>
      <c r="C101" s="11">
        <f>SUMIFS(Listings!$I$7:$I$306,Listings!$D$7:$D$306,$A101)</f>
        <v>1</v>
      </c>
      <c r="D101" s="11">
        <f>COUNTIFS(Listings!$D$7:$D$306,$A101,Listings!$F$7:$F$306,"Primary")</f>
        <v>1</v>
      </c>
      <c r="E101" s="11">
        <f>COUNTIFS(Listings!$D$7:$D$306,$A101,Listings!$F$7:$F$306,"&lt;&gt;Primary")</f>
        <v>0</v>
      </c>
      <c r="F101" s="11">
        <f t="shared" si="2"/>
        <v>1</v>
      </c>
    </row>
    <row r="102" spans="1:6" ht="22.95" customHeight="1">
      <c r="A102" s="1" t="s">
        <v>217</v>
      </c>
      <c r="B102" s="1" t="s">
        <v>218</v>
      </c>
      <c r="C102" s="11">
        <f>SUMIFS(Listings!$I$7:$I$306,Listings!$D$7:$D$306,$A102)</f>
        <v>1</v>
      </c>
      <c r="D102" s="11">
        <f>COUNTIFS(Listings!$D$7:$D$306,$A102,Listings!$F$7:$F$306,"Primary")</f>
        <v>1</v>
      </c>
      <c r="E102" s="11">
        <f>COUNTIFS(Listings!$D$7:$D$306,$A102,Listings!$F$7:$F$306,"&lt;&gt;Primary")</f>
        <v>0</v>
      </c>
      <c r="F102" s="11">
        <f t="shared" si="2"/>
        <v>1</v>
      </c>
    </row>
    <row r="103" spans="1:6" ht="22.95" customHeight="1">
      <c r="A103" s="1" t="s">
        <v>219</v>
      </c>
      <c r="B103" s="1" t="s">
        <v>220</v>
      </c>
      <c r="C103" s="11">
        <f>SUMIFS(Listings!$I$7:$I$306,Listings!$D$7:$D$306,$A103)</f>
        <v>1</v>
      </c>
      <c r="D103" s="11">
        <f>COUNTIFS(Listings!$D$7:$D$306,$A103,Listings!$F$7:$F$306,"Primary")</f>
        <v>0</v>
      </c>
      <c r="E103" s="11">
        <f>COUNTIFS(Listings!$D$7:$D$306,$A103,Listings!$F$7:$F$306,"&lt;&gt;Primary")</f>
        <v>1</v>
      </c>
      <c r="F103" s="11">
        <f t="shared" ref="F103:F134" si="3">SUM(D103:E103)</f>
        <v>1</v>
      </c>
    </row>
    <row r="104" spans="1:6" ht="22.95" customHeight="1">
      <c r="A104" s="1" t="s">
        <v>221</v>
      </c>
      <c r="B104" s="1" t="s">
        <v>222</v>
      </c>
      <c r="C104" s="11">
        <f>SUMIFS(Listings!$I$7:$I$306,Listings!$D$7:$D$306,$A104)</f>
        <v>1</v>
      </c>
      <c r="D104" s="11">
        <f>COUNTIFS(Listings!$D$7:$D$306,$A104,Listings!$F$7:$F$306,"Primary")</f>
        <v>1</v>
      </c>
      <c r="E104" s="11">
        <f>COUNTIFS(Listings!$D$7:$D$306,$A104,Listings!$F$7:$F$306,"&lt;&gt;Primary")</f>
        <v>0</v>
      </c>
      <c r="F104" s="11">
        <f t="shared" si="3"/>
        <v>1</v>
      </c>
    </row>
    <row r="105" spans="1:6" ht="22.95" customHeight="1">
      <c r="A105" s="1" t="s">
        <v>223</v>
      </c>
      <c r="B105" s="1" t="s">
        <v>224</v>
      </c>
      <c r="C105" s="11">
        <f>SUMIFS(Listings!$I$7:$I$306,Listings!$D$7:$D$306,$A105)</f>
        <v>1</v>
      </c>
      <c r="D105" s="11">
        <f>COUNTIFS(Listings!$D$7:$D$306,$A105,Listings!$F$7:$F$306,"Primary")</f>
        <v>0</v>
      </c>
      <c r="E105" s="11">
        <f>COUNTIFS(Listings!$D$7:$D$306,$A105,Listings!$F$7:$F$306,"&lt;&gt;Primary")</f>
        <v>1</v>
      </c>
      <c r="F105" s="11">
        <f t="shared" si="3"/>
        <v>1</v>
      </c>
    </row>
    <row r="106" spans="1:6" ht="22.95" customHeight="1">
      <c r="A106" s="1" t="s">
        <v>225</v>
      </c>
      <c r="B106" s="1" t="s">
        <v>226</v>
      </c>
      <c r="C106" s="11">
        <f>SUMIFS(Listings!$I$7:$I$306,Listings!$D$7:$D$306,$A106)</f>
        <v>1</v>
      </c>
      <c r="D106" s="11">
        <f>COUNTIFS(Listings!$D$7:$D$306,$A106,Listings!$F$7:$F$306,"Primary")</f>
        <v>1</v>
      </c>
      <c r="E106" s="11">
        <f>COUNTIFS(Listings!$D$7:$D$306,$A106,Listings!$F$7:$F$306,"&lt;&gt;Primary")</f>
        <v>0</v>
      </c>
      <c r="F106" s="11">
        <f t="shared" si="3"/>
        <v>1</v>
      </c>
    </row>
    <row r="107" spans="1:6" ht="22.95" customHeight="1">
      <c r="A107" s="1" t="s">
        <v>227</v>
      </c>
      <c r="B107" s="1" t="s">
        <v>228</v>
      </c>
      <c r="C107" s="11">
        <f>SUMIFS(Listings!$I$7:$I$306,Listings!$D$7:$D$306,$A107)</f>
        <v>1</v>
      </c>
      <c r="D107" s="11">
        <f>COUNTIFS(Listings!$D$7:$D$306,$A107,Listings!$F$7:$F$306,"Primary")</f>
        <v>0</v>
      </c>
      <c r="E107" s="11">
        <f>COUNTIFS(Listings!$D$7:$D$306,$A107,Listings!$F$7:$F$306,"&lt;&gt;Primary")</f>
        <v>1</v>
      </c>
      <c r="F107" s="11">
        <f t="shared" si="3"/>
        <v>1</v>
      </c>
    </row>
    <row r="108" spans="1:6" ht="22.95" customHeight="1">
      <c r="A108" s="1" t="s">
        <v>229</v>
      </c>
      <c r="B108" s="1" t="s">
        <v>230</v>
      </c>
      <c r="C108" s="11">
        <f>SUMIFS(Listings!$I$7:$I$306,Listings!$D$7:$D$306,$A108)</f>
        <v>1</v>
      </c>
      <c r="D108" s="11">
        <f>COUNTIFS(Listings!$D$7:$D$306,$A108,Listings!$F$7:$F$306,"Primary")</f>
        <v>0</v>
      </c>
      <c r="E108" s="11">
        <f>COUNTIFS(Listings!$D$7:$D$306,$A108,Listings!$F$7:$F$306,"&lt;&gt;Primary")</f>
        <v>1</v>
      </c>
      <c r="F108" s="11">
        <f t="shared" si="3"/>
        <v>1</v>
      </c>
    </row>
    <row r="109" spans="1:6" ht="22.95" customHeight="1">
      <c r="A109" s="1" t="s">
        <v>231</v>
      </c>
      <c r="B109" s="1" t="s">
        <v>232</v>
      </c>
      <c r="C109" s="11">
        <f>SUMIFS(Listings!$I$7:$I$306,Listings!$D$7:$D$306,$A109)</f>
        <v>1</v>
      </c>
      <c r="D109" s="11">
        <f>COUNTIFS(Listings!$D$7:$D$306,$A109,Listings!$F$7:$F$306,"Primary")</f>
        <v>1</v>
      </c>
      <c r="E109" s="11">
        <f>COUNTIFS(Listings!$D$7:$D$306,$A109,Listings!$F$7:$F$306,"&lt;&gt;Primary")</f>
        <v>0</v>
      </c>
      <c r="F109" s="11">
        <f t="shared" si="3"/>
        <v>1</v>
      </c>
    </row>
    <row r="110" spans="1:6" ht="22.95" customHeight="1">
      <c r="A110" s="1" t="s">
        <v>233</v>
      </c>
      <c r="B110" s="1" t="s">
        <v>234</v>
      </c>
      <c r="C110" s="11">
        <f>SUMIFS(Listings!$I$7:$I$306,Listings!$D$7:$D$306,$A110)</f>
        <v>1</v>
      </c>
      <c r="D110" s="11">
        <f>COUNTIFS(Listings!$D$7:$D$306,$A110,Listings!$F$7:$F$306,"Primary")</f>
        <v>0</v>
      </c>
      <c r="E110" s="11">
        <f>COUNTIFS(Listings!$D$7:$D$306,$A110,Listings!$F$7:$F$306,"&lt;&gt;Primary")</f>
        <v>1</v>
      </c>
      <c r="F110" s="11">
        <f t="shared" si="3"/>
        <v>1</v>
      </c>
    </row>
    <row r="111" spans="1:6" ht="22.95" customHeight="1">
      <c r="A111" s="1" t="s">
        <v>235</v>
      </c>
      <c r="B111" s="1" t="s">
        <v>236</v>
      </c>
      <c r="C111" s="11">
        <f>SUMIFS(Listings!$I$7:$I$306,Listings!$D$7:$D$306,$A111)</f>
        <v>1</v>
      </c>
      <c r="D111" s="11">
        <f>COUNTIFS(Listings!$D$7:$D$306,$A111,Listings!$F$7:$F$306,"Primary")</f>
        <v>0</v>
      </c>
      <c r="E111" s="11">
        <f>COUNTIFS(Listings!$D$7:$D$306,$A111,Listings!$F$7:$F$306,"&lt;&gt;Primary")</f>
        <v>1</v>
      </c>
      <c r="F111" s="11">
        <f t="shared" si="3"/>
        <v>1</v>
      </c>
    </row>
    <row r="112" spans="1:6" ht="22.95" customHeight="1">
      <c r="A112" s="1" t="s">
        <v>237</v>
      </c>
      <c r="B112" s="1" t="s">
        <v>238</v>
      </c>
      <c r="C112" s="11">
        <f>SUMIFS(Listings!$I$7:$I$306,Listings!$D$7:$D$306,$A112)</f>
        <v>1</v>
      </c>
      <c r="D112" s="11">
        <f>COUNTIFS(Listings!$D$7:$D$306,$A112,Listings!$F$7:$F$306,"Primary")</f>
        <v>0</v>
      </c>
      <c r="E112" s="11">
        <f>COUNTIFS(Listings!$D$7:$D$306,$A112,Listings!$F$7:$F$306,"&lt;&gt;Primary")</f>
        <v>1</v>
      </c>
      <c r="F112" s="11">
        <f t="shared" si="3"/>
        <v>1</v>
      </c>
    </row>
    <row r="113" spans="1:6" ht="22.95" customHeight="1">
      <c r="A113" s="1" t="s">
        <v>239</v>
      </c>
      <c r="B113" s="1" t="s">
        <v>240</v>
      </c>
      <c r="C113" s="11">
        <f>SUMIFS(Listings!$I$7:$I$306,Listings!$D$7:$D$306,$A113)</f>
        <v>1</v>
      </c>
      <c r="D113" s="11">
        <f>COUNTIFS(Listings!$D$7:$D$306,$A113,Listings!$F$7:$F$306,"Primary")</f>
        <v>0</v>
      </c>
      <c r="E113" s="11">
        <f>COUNTIFS(Listings!$D$7:$D$306,$A113,Listings!$F$7:$F$306,"&lt;&gt;Primary")</f>
        <v>1</v>
      </c>
      <c r="F113" s="11">
        <f t="shared" si="3"/>
        <v>1</v>
      </c>
    </row>
    <row r="114" spans="1:6" ht="22.95" customHeight="1">
      <c r="A114" s="1" t="s">
        <v>241</v>
      </c>
      <c r="B114" s="1" t="s">
        <v>242</v>
      </c>
      <c r="C114" s="11">
        <f>SUMIFS(Listings!$I$7:$I$306,Listings!$D$7:$D$306,$A114)</f>
        <v>1</v>
      </c>
      <c r="D114" s="11">
        <f>COUNTIFS(Listings!$D$7:$D$306,$A114,Listings!$F$7:$F$306,"Primary")</f>
        <v>1</v>
      </c>
      <c r="E114" s="11">
        <f>COUNTIFS(Listings!$D$7:$D$306,$A114,Listings!$F$7:$F$306,"&lt;&gt;Primary")</f>
        <v>0</v>
      </c>
      <c r="F114" s="11">
        <f t="shared" si="3"/>
        <v>1</v>
      </c>
    </row>
    <row r="115" spans="1:6" ht="22.95" customHeight="1">
      <c r="A115" s="1" t="s">
        <v>243</v>
      </c>
      <c r="B115" s="1" t="s">
        <v>244</v>
      </c>
      <c r="C115" s="11">
        <f>SUMIFS(Listings!$I$7:$I$306,Listings!$D$7:$D$306,$A115)</f>
        <v>1</v>
      </c>
      <c r="D115" s="11">
        <f>COUNTIFS(Listings!$D$7:$D$306,$A115,Listings!$F$7:$F$306,"Primary")</f>
        <v>0</v>
      </c>
      <c r="E115" s="11">
        <f>COUNTIFS(Listings!$D$7:$D$306,$A115,Listings!$F$7:$F$306,"&lt;&gt;Primary")</f>
        <v>1</v>
      </c>
      <c r="F115" s="11">
        <f t="shared" si="3"/>
        <v>1</v>
      </c>
    </row>
    <row r="116" spans="1:6" ht="22.95" customHeight="1">
      <c r="A116" s="1" t="s">
        <v>245</v>
      </c>
      <c r="B116" s="1" t="s">
        <v>246</v>
      </c>
      <c r="C116" s="11">
        <f>SUMIFS(Listings!$I$7:$I$306,Listings!$D$7:$D$306,$A116)</f>
        <v>1</v>
      </c>
      <c r="D116" s="11">
        <f>COUNTIFS(Listings!$D$7:$D$306,$A116,Listings!$F$7:$F$306,"Primary")</f>
        <v>0</v>
      </c>
      <c r="E116" s="11">
        <f>COUNTIFS(Listings!$D$7:$D$306,$A116,Listings!$F$7:$F$306,"&lt;&gt;Primary")</f>
        <v>1</v>
      </c>
      <c r="F116" s="11">
        <f t="shared" si="3"/>
        <v>1</v>
      </c>
    </row>
    <row r="117" spans="1:6" ht="22.95" customHeight="1">
      <c r="A117" s="1" t="s">
        <v>247</v>
      </c>
      <c r="B117" s="1" t="s">
        <v>248</v>
      </c>
      <c r="C117" s="11">
        <f>SUMIFS(Listings!$I$7:$I$306,Listings!$D$7:$D$306,$A117)</f>
        <v>1</v>
      </c>
      <c r="D117" s="11">
        <f>COUNTIFS(Listings!$D$7:$D$306,$A117,Listings!$F$7:$F$306,"Primary")</f>
        <v>0</v>
      </c>
      <c r="E117" s="11">
        <f>COUNTIFS(Listings!$D$7:$D$306,$A117,Listings!$F$7:$F$306,"&lt;&gt;Primary")</f>
        <v>1</v>
      </c>
      <c r="F117" s="11">
        <f t="shared" si="3"/>
        <v>1</v>
      </c>
    </row>
    <row r="118" spans="1:6" ht="22.95" customHeight="1">
      <c r="A118" s="1" t="s">
        <v>249</v>
      </c>
      <c r="B118" s="1" t="s">
        <v>250</v>
      </c>
      <c r="C118" s="11">
        <f>SUMIFS(Listings!$I$7:$I$306,Listings!$D$7:$D$306,$A118)</f>
        <v>1</v>
      </c>
      <c r="D118" s="11">
        <f>COUNTIFS(Listings!$D$7:$D$306,$A118,Listings!$F$7:$F$306,"Primary")</f>
        <v>1</v>
      </c>
      <c r="E118" s="11">
        <f>COUNTIFS(Listings!$D$7:$D$306,$A118,Listings!$F$7:$F$306,"&lt;&gt;Primary")</f>
        <v>0</v>
      </c>
      <c r="F118" s="11">
        <f t="shared" si="3"/>
        <v>1</v>
      </c>
    </row>
    <row r="119" spans="1:6" ht="22.95" customHeight="1">
      <c r="A119" s="1" t="s">
        <v>251</v>
      </c>
      <c r="B119" s="1" t="s">
        <v>252</v>
      </c>
      <c r="C119" s="11">
        <f>SUMIFS(Listings!$I$7:$I$306,Listings!$D$7:$D$306,$A119)</f>
        <v>1</v>
      </c>
      <c r="D119" s="11">
        <f>COUNTIFS(Listings!$D$7:$D$306,$A119,Listings!$F$7:$F$306,"Primary")</f>
        <v>0</v>
      </c>
      <c r="E119" s="11">
        <f>COUNTIFS(Listings!$D$7:$D$306,$A119,Listings!$F$7:$F$306,"&lt;&gt;Primary")</f>
        <v>1</v>
      </c>
      <c r="F119" s="11">
        <f t="shared" si="3"/>
        <v>1</v>
      </c>
    </row>
    <row r="120" spans="1:6" ht="22.95" customHeight="1">
      <c r="A120" s="1" t="s">
        <v>253</v>
      </c>
      <c r="B120" s="1" t="s">
        <v>254</v>
      </c>
      <c r="C120" s="11">
        <f>SUMIFS(Listings!$I$7:$I$306,Listings!$D$7:$D$306,$A120)</f>
        <v>1</v>
      </c>
      <c r="D120" s="11">
        <f>COUNTIFS(Listings!$D$7:$D$306,$A120,Listings!$F$7:$F$306,"Primary")</f>
        <v>1</v>
      </c>
      <c r="E120" s="11">
        <f>COUNTIFS(Listings!$D$7:$D$306,$A120,Listings!$F$7:$F$306,"&lt;&gt;Primary")</f>
        <v>0</v>
      </c>
      <c r="F120" s="11">
        <f t="shared" si="3"/>
        <v>1</v>
      </c>
    </row>
    <row r="121" spans="1:6" ht="22.95" customHeight="1">
      <c r="A121" s="1" t="s">
        <v>255</v>
      </c>
      <c r="B121" s="1" t="s">
        <v>256</v>
      </c>
      <c r="C121" s="11">
        <f>SUMIFS(Listings!$I$7:$I$306,Listings!$D$7:$D$306,$A121)</f>
        <v>1</v>
      </c>
      <c r="D121" s="11">
        <f>COUNTIFS(Listings!$D$7:$D$306,$A121,Listings!$F$7:$F$306,"Primary")</f>
        <v>0</v>
      </c>
      <c r="E121" s="11">
        <f>COUNTIFS(Listings!$D$7:$D$306,$A121,Listings!$F$7:$F$306,"&lt;&gt;Primary")</f>
        <v>1</v>
      </c>
      <c r="F121" s="11">
        <f t="shared" si="3"/>
        <v>1</v>
      </c>
    </row>
    <row r="122" spans="1:6" ht="22.95" customHeight="1">
      <c r="A122" s="1" t="s">
        <v>257</v>
      </c>
      <c r="B122" s="1" t="s">
        <v>258</v>
      </c>
      <c r="C122" s="11">
        <f>SUMIFS(Listings!$I$7:$I$306,Listings!$D$7:$D$306,$A122)</f>
        <v>1</v>
      </c>
      <c r="D122" s="11">
        <f>COUNTIFS(Listings!$D$7:$D$306,$A122,Listings!$F$7:$F$306,"Primary")</f>
        <v>1</v>
      </c>
      <c r="E122" s="11">
        <f>COUNTIFS(Listings!$D$7:$D$306,$A122,Listings!$F$7:$F$306,"&lt;&gt;Primary")</f>
        <v>0</v>
      </c>
      <c r="F122" s="11">
        <f t="shared" si="3"/>
        <v>1</v>
      </c>
    </row>
    <row r="123" spans="1:6" ht="22.95" customHeight="1">
      <c r="A123" s="1" t="s">
        <v>259</v>
      </c>
      <c r="B123" s="1" t="s">
        <v>260</v>
      </c>
      <c r="C123" s="11">
        <f>SUMIFS(Listings!$I$7:$I$306,Listings!$D$7:$D$306,$A123)</f>
        <v>1</v>
      </c>
      <c r="D123" s="11">
        <f>COUNTIFS(Listings!$D$7:$D$306,$A123,Listings!$F$7:$F$306,"Primary")</f>
        <v>1</v>
      </c>
      <c r="E123" s="11">
        <f>COUNTIFS(Listings!$D$7:$D$306,$A123,Listings!$F$7:$F$306,"&lt;&gt;Primary")</f>
        <v>0</v>
      </c>
      <c r="F123" s="11">
        <f t="shared" si="3"/>
        <v>1</v>
      </c>
    </row>
    <row r="124" spans="1:6" ht="22.95" customHeight="1">
      <c r="A124" s="1" t="s">
        <v>261</v>
      </c>
      <c r="B124" s="1" t="s">
        <v>262</v>
      </c>
      <c r="C124" s="11">
        <f>SUMIFS(Listings!$I$7:$I$306,Listings!$D$7:$D$306,$A124)</f>
        <v>1</v>
      </c>
      <c r="D124" s="11">
        <f>COUNTIFS(Listings!$D$7:$D$306,$A124,Listings!$F$7:$F$306,"Primary")</f>
        <v>0</v>
      </c>
      <c r="E124" s="11">
        <f>COUNTIFS(Listings!$D$7:$D$306,$A124,Listings!$F$7:$F$306,"&lt;&gt;Primary")</f>
        <v>1</v>
      </c>
      <c r="F124" s="11">
        <f t="shared" si="3"/>
        <v>1</v>
      </c>
    </row>
    <row r="125" spans="1:6" ht="22.95" customHeight="1">
      <c r="A125" s="1" t="s">
        <v>263</v>
      </c>
      <c r="B125" s="1" t="s">
        <v>264</v>
      </c>
      <c r="C125" s="11">
        <f>SUMIFS(Listings!$I$7:$I$306,Listings!$D$7:$D$306,$A125)</f>
        <v>1</v>
      </c>
      <c r="D125" s="11">
        <f>COUNTIFS(Listings!$D$7:$D$306,$A125,Listings!$F$7:$F$306,"Primary")</f>
        <v>1</v>
      </c>
      <c r="E125" s="11">
        <f>COUNTIFS(Listings!$D$7:$D$306,$A125,Listings!$F$7:$F$306,"&lt;&gt;Primary")</f>
        <v>0</v>
      </c>
      <c r="F125" s="11">
        <f t="shared" si="3"/>
        <v>1</v>
      </c>
    </row>
    <row r="126" spans="1:6" ht="22.95" customHeight="1">
      <c r="A126" s="1" t="s">
        <v>265</v>
      </c>
      <c r="B126" s="1" t="s">
        <v>266</v>
      </c>
      <c r="C126" s="11">
        <f>SUMIFS(Listings!$I$7:$I$306,Listings!$D$7:$D$306,$A126)</f>
        <v>1</v>
      </c>
      <c r="D126" s="11">
        <f>COUNTIFS(Listings!$D$7:$D$306,$A126,Listings!$F$7:$F$306,"Primary")</f>
        <v>0</v>
      </c>
      <c r="E126" s="11">
        <f>COUNTIFS(Listings!$D$7:$D$306,$A126,Listings!$F$7:$F$306,"&lt;&gt;Primary")</f>
        <v>1</v>
      </c>
      <c r="F126" s="11">
        <f t="shared" si="3"/>
        <v>1</v>
      </c>
    </row>
    <row r="127" spans="1:6" ht="22.95" customHeight="1">
      <c r="A127" s="1" t="s">
        <v>267</v>
      </c>
      <c r="B127" s="1" t="s">
        <v>268</v>
      </c>
      <c r="C127" s="11">
        <f>SUMIFS(Listings!$I$7:$I$306,Listings!$D$7:$D$306,$A127)</f>
        <v>1</v>
      </c>
      <c r="D127" s="11">
        <f>COUNTIFS(Listings!$D$7:$D$306,$A127,Listings!$F$7:$F$306,"Primary")</f>
        <v>0</v>
      </c>
      <c r="E127" s="11">
        <f>COUNTIFS(Listings!$D$7:$D$306,$A127,Listings!$F$7:$F$306,"&lt;&gt;Primary")</f>
        <v>1</v>
      </c>
      <c r="F127" s="11">
        <f t="shared" si="3"/>
        <v>1</v>
      </c>
    </row>
    <row r="128" spans="1:6" ht="22.95" customHeight="1">
      <c r="A128" s="1" t="s">
        <v>269</v>
      </c>
      <c r="B128" s="1" t="s">
        <v>270</v>
      </c>
      <c r="C128" s="11">
        <f>SUMIFS(Listings!$I$7:$I$306,Listings!$D$7:$D$306,$A128)</f>
        <v>1</v>
      </c>
      <c r="D128" s="11">
        <f>COUNTIFS(Listings!$D$7:$D$306,$A128,Listings!$F$7:$F$306,"Primary")</f>
        <v>0</v>
      </c>
      <c r="E128" s="11">
        <f>COUNTIFS(Listings!$D$7:$D$306,$A128,Listings!$F$7:$F$306,"&lt;&gt;Primary")</f>
        <v>1</v>
      </c>
      <c r="F128" s="11">
        <f t="shared" si="3"/>
        <v>1</v>
      </c>
    </row>
    <row r="129" spans="1:6" ht="22.95" customHeight="1">
      <c r="A129" s="1" t="s">
        <v>271</v>
      </c>
      <c r="B129" s="1" t="s">
        <v>272</v>
      </c>
      <c r="C129" s="11">
        <f>SUMIFS(Listings!$I$7:$I$306,Listings!$D$7:$D$306,$A129)</f>
        <v>1</v>
      </c>
      <c r="D129" s="11">
        <f>COUNTIFS(Listings!$D$7:$D$306,$A129,Listings!$F$7:$F$306,"Primary")</f>
        <v>0</v>
      </c>
      <c r="E129" s="11">
        <f>COUNTIFS(Listings!$D$7:$D$306,$A129,Listings!$F$7:$F$306,"&lt;&gt;Primary")</f>
        <v>1</v>
      </c>
      <c r="F129" s="11">
        <f t="shared" si="3"/>
        <v>1</v>
      </c>
    </row>
    <row r="130" spans="1:6" ht="22.95" customHeight="1">
      <c r="A130" s="1" t="s">
        <v>273</v>
      </c>
      <c r="B130" s="1" t="s">
        <v>274</v>
      </c>
      <c r="C130" s="11">
        <f>SUMIFS(Listings!$I$7:$I$306,Listings!$D$7:$D$306,$A130)</f>
        <v>1</v>
      </c>
      <c r="D130" s="11">
        <f>COUNTIFS(Listings!$D$7:$D$306,$A130,Listings!$F$7:$F$306,"Primary")</f>
        <v>0</v>
      </c>
      <c r="E130" s="11">
        <f>COUNTIFS(Listings!$D$7:$D$306,$A130,Listings!$F$7:$F$306,"&lt;&gt;Primary")</f>
        <v>1</v>
      </c>
      <c r="F130" s="11">
        <f t="shared" si="3"/>
        <v>1</v>
      </c>
    </row>
    <row r="131" spans="1:6" ht="22.95" customHeight="1">
      <c r="A131" s="1" t="s">
        <v>275</v>
      </c>
      <c r="B131" s="1" t="s">
        <v>276</v>
      </c>
      <c r="C131" s="11">
        <f>SUMIFS(Listings!$I$7:$I$306,Listings!$D$7:$D$306,$A131)</f>
        <v>1</v>
      </c>
      <c r="D131" s="11">
        <f>COUNTIFS(Listings!$D$7:$D$306,$A131,Listings!$F$7:$F$306,"Primary")</f>
        <v>0</v>
      </c>
      <c r="E131" s="11">
        <f>COUNTIFS(Listings!$D$7:$D$306,$A131,Listings!$F$7:$F$306,"&lt;&gt;Primary")</f>
        <v>1</v>
      </c>
      <c r="F131" s="11">
        <f t="shared" si="3"/>
        <v>1</v>
      </c>
    </row>
    <row r="132" spans="1:6" ht="22.95" customHeight="1">
      <c r="A132" s="1" t="s">
        <v>277</v>
      </c>
      <c r="B132" s="1" t="s">
        <v>278</v>
      </c>
      <c r="C132" s="11">
        <f>SUMIFS(Listings!$I$7:$I$306,Listings!$D$7:$D$306,$A132)</f>
        <v>1</v>
      </c>
      <c r="D132" s="11">
        <f>COUNTIFS(Listings!$D$7:$D$306,$A132,Listings!$F$7:$F$306,"Primary")</f>
        <v>1</v>
      </c>
      <c r="E132" s="11">
        <f>COUNTIFS(Listings!$D$7:$D$306,$A132,Listings!$F$7:$F$306,"&lt;&gt;Primary")</f>
        <v>0</v>
      </c>
      <c r="F132" s="11">
        <f t="shared" si="3"/>
        <v>1</v>
      </c>
    </row>
    <row r="133" spans="1:6" ht="22.95" customHeight="1">
      <c r="A133" s="1" t="s">
        <v>279</v>
      </c>
      <c r="B133" s="1" t="s">
        <v>280</v>
      </c>
      <c r="C133" s="11">
        <f>SUMIFS(Listings!$I$7:$I$306,Listings!$D$7:$D$306,$A133)</f>
        <v>1</v>
      </c>
      <c r="D133" s="11">
        <f>COUNTIFS(Listings!$D$7:$D$306,$A133,Listings!$F$7:$F$306,"Primary")</f>
        <v>0</v>
      </c>
      <c r="E133" s="11">
        <f>COUNTIFS(Listings!$D$7:$D$306,$A133,Listings!$F$7:$F$306,"&lt;&gt;Primary")</f>
        <v>1</v>
      </c>
      <c r="F133" s="11">
        <f t="shared" si="3"/>
        <v>1</v>
      </c>
    </row>
    <row r="134" spans="1:6" ht="22.95" customHeight="1">
      <c r="A134" s="1" t="s">
        <v>281</v>
      </c>
      <c r="B134" s="1" t="s">
        <v>282</v>
      </c>
      <c r="C134" s="11">
        <f>SUMIFS(Listings!$I$7:$I$306,Listings!$D$7:$D$306,$A134)</f>
        <v>1</v>
      </c>
      <c r="D134" s="11">
        <f>COUNTIFS(Listings!$D$7:$D$306,$A134,Listings!$F$7:$F$306,"Primary")</f>
        <v>1</v>
      </c>
      <c r="E134" s="11">
        <f>COUNTIFS(Listings!$D$7:$D$306,$A134,Listings!$F$7:$F$306,"&lt;&gt;Primary")</f>
        <v>0</v>
      </c>
      <c r="F134" s="11">
        <f t="shared" si="3"/>
        <v>1</v>
      </c>
    </row>
    <row r="135" spans="1:6" ht="22.95" customHeight="1">
      <c r="A135" s="1" t="s">
        <v>283</v>
      </c>
      <c r="B135" s="1" t="s">
        <v>284</v>
      </c>
      <c r="C135" s="11">
        <f>SUMIFS(Listings!$I$7:$I$306,Listings!$D$7:$D$306,$A135)</f>
        <v>1</v>
      </c>
      <c r="D135" s="11">
        <f>COUNTIFS(Listings!$D$7:$D$306,$A135,Listings!$F$7:$F$306,"Primary")</f>
        <v>0</v>
      </c>
      <c r="E135" s="11">
        <f>COUNTIFS(Listings!$D$7:$D$306,$A135,Listings!$F$7:$F$306,"&lt;&gt;Primary")</f>
        <v>1</v>
      </c>
      <c r="F135" s="11">
        <f t="shared" ref="F135:F166" si="4">SUM(D135:E135)</f>
        <v>1</v>
      </c>
    </row>
    <row r="136" spans="1:6" ht="22.95" customHeight="1">
      <c r="A136" s="1" t="s">
        <v>285</v>
      </c>
      <c r="B136" s="1" t="s">
        <v>286</v>
      </c>
      <c r="C136" s="11">
        <f>SUMIFS(Listings!$I$7:$I$306,Listings!$D$7:$D$306,$A136)</f>
        <v>1</v>
      </c>
      <c r="D136" s="11">
        <f>COUNTIFS(Listings!$D$7:$D$306,$A136,Listings!$F$7:$F$306,"Primary")</f>
        <v>1</v>
      </c>
      <c r="E136" s="11">
        <f>COUNTIFS(Listings!$D$7:$D$306,$A136,Listings!$F$7:$F$306,"&lt;&gt;Primary")</f>
        <v>0</v>
      </c>
      <c r="F136" s="11">
        <f t="shared" si="4"/>
        <v>1</v>
      </c>
    </row>
    <row r="137" spans="1:6" ht="22.95" customHeight="1">
      <c r="A137" s="1" t="s">
        <v>287</v>
      </c>
      <c r="B137" s="1" t="s">
        <v>288</v>
      </c>
      <c r="C137" s="11">
        <f>SUMIFS(Listings!$I$7:$I$306,Listings!$D$7:$D$306,$A137)</f>
        <v>1</v>
      </c>
      <c r="D137" s="11">
        <f>COUNTIFS(Listings!$D$7:$D$306,$A137,Listings!$F$7:$F$306,"Primary")</f>
        <v>1</v>
      </c>
      <c r="E137" s="11">
        <f>COUNTIFS(Listings!$D$7:$D$306,$A137,Listings!$F$7:$F$306,"&lt;&gt;Primary")</f>
        <v>0</v>
      </c>
      <c r="F137" s="11">
        <f t="shared" si="4"/>
        <v>1</v>
      </c>
    </row>
    <row r="138" spans="1:6" ht="22.95" customHeight="1">
      <c r="A138" s="1" t="s">
        <v>289</v>
      </c>
      <c r="B138" s="1" t="s">
        <v>290</v>
      </c>
      <c r="C138" s="11">
        <f>SUMIFS(Listings!$I$7:$I$306,Listings!$D$7:$D$306,$A138)</f>
        <v>1</v>
      </c>
      <c r="D138" s="11">
        <f>COUNTIFS(Listings!$D$7:$D$306,$A138,Listings!$F$7:$F$306,"Primary")</f>
        <v>0</v>
      </c>
      <c r="E138" s="11">
        <f>COUNTIFS(Listings!$D$7:$D$306,$A138,Listings!$F$7:$F$306,"&lt;&gt;Primary")</f>
        <v>1</v>
      </c>
      <c r="F138" s="11">
        <f t="shared" si="4"/>
        <v>1</v>
      </c>
    </row>
    <row r="139" spans="1:6" ht="22.95" customHeight="1">
      <c r="A139" s="1" t="s">
        <v>291</v>
      </c>
      <c r="B139" s="1" t="s">
        <v>292</v>
      </c>
      <c r="C139" s="11">
        <f>SUMIFS(Listings!$I$7:$I$306,Listings!$D$7:$D$306,$A139)</f>
        <v>1</v>
      </c>
      <c r="D139" s="11">
        <f>COUNTIFS(Listings!$D$7:$D$306,$A139,Listings!$F$7:$F$306,"Primary")</f>
        <v>0</v>
      </c>
      <c r="E139" s="11">
        <f>COUNTIFS(Listings!$D$7:$D$306,$A139,Listings!$F$7:$F$306,"&lt;&gt;Primary")</f>
        <v>1</v>
      </c>
      <c r="F139" s="11">
        <f t="shared" si="4"/>
        <v>1</v>
      </c>
    </row>
    <row r="140" spans="1:6" ht="22.95" customHeight="1">
      <c r="A140" s="1" t="s">
        <v>293</v>
      </c>
      <c r="B140" s="1" t="s">
        <v>294</v>
      </c>
      <c r="C140" s="11">
        <f>SUMIFS(Listings!$I$7:$I$306,Listings!$D$7:$D$306,$A140)</f>
        <v>1</v>
      </c>
      <c r="D140" s="11">
        <f>COUNTIFS(Listings!$D$7:$D$306,$A140,Listings!$F$7:$F$306,"Primary")</f>
        <v>1</v>
      </c>
      <c r="E140" s="11">
        <f>COUNTIFS(Listings!$D$7:$D$306,$A140,Listings!$F$7:$F$306,"&lt;&gt;Primary")</f>
        <v>0</v>
      </c>
      <c r="F140" s="11">
        <f t="shared" si="4"/>
        <v>1</v>
      </c>
    </row>
    <row r="141" spans="1:6" ht="22.95" customHeight="1">
      <c r="A141" s="1" t="s">
        <v>295</v>
      </c>
      <c r="B141" s="1" t="s">
        <v>296</v>
      </c>
      <c r="C141" s="11">
        <f>SUMIFS(Listings!$I$7:$I$306,Listings!$D$7:$D$306,$A141)</f>
        <v>1</v>
      </c>
      <c r="D141" s="11">
        <f>COUNTIFS(Listings!$D$7:$D$306,$A141,Listings!$F$7:$F$306,"Primary")</f>
        <v>1</v>
      </c>
      <c r="E141" s="11">
        <f>COUNTIFS(Listings!$D$7:$D$306,$A141,Listings!$F$7:$F$306,"&lt;&gt;Primary")</f>
        <v>0</v>
      </c>
      <c r="F141" s="11">
        <f t="shared" si="4"/>
        <v>1</v>
      </c>
    </row>
    <row r="142" spans="1:6" ht="22.95" customHeight="1">
      <c r="A142" s="1" t="s">
        <v>297</v>
      </c>
      <c r="B142" s="1" t="s">
        <v>298</v>
      </c>
      <c r="C142" s="11">
        <f>SUMIFS(Listings!$I$7:$I$306,Listings!$D$7:$D$306,$A142)</f>
        <v>1</v>
      </c>
      <c r="D142" s="11">
        <f>COUNTIFS(Listings!$D$7:$D$306,$A142,Listings!$F$7:$F$306,"Primary")</f>
        <v>1</v>
      </c>
      <c r="E142" s="11">
        <f>COUNTIFS(Listings!$D$7:$D$306,$A142,Listings!$F$7:$F$306,"&lt;&gt;Primary")</f>
        <v>0</v>
      </c>
      <c r="F142" s="11">
        <f t="shared" si="4"/>
        <v>1</v>
      </c>
    </row>
    <row r="143" spans="1:6" ht="22.95" customHeight="1">
      <c r="A143" s="1" t="s">
        <v>299</v>
      </c>
      <c r="B143" s="1" t="s">
        <v>300</v>
      </c>
      <c r="C143" s="11">
        <f>SUMIFS(Listings!$I$7:$I$306,Listings!$D$7:$D$306,$A143)</f>
        <v>1</v>
      </c>
      <c r="D143" s="11">
        <f>COUNTIFS(Listings!$D$7:$D$306,$A143,Listings!$F$7:$F$306,"Primary")</f>
        <v>0</v>
      </c>
      <c r="E143" s="11">
        <f>COUNTIFS(Listings!$D$7:$D$306,$A143,Listings!$F$7:$F$306,"&lt;&gt;Primary")</f>
        <v>1</v>
      </c>
      <c r="F143" s="11">
        <f t="shared" si="4"/>
        <v>1</v>
      </c>
    </row>
    <row r="144" spans="1:6" ht="22.95" customHeight="1">
      <c r="A144" s="1" t="s">
        <v>301</v>
      </c>
      <c r="B144" s="1" t="s">
        <v>302</v>
      </c>
      <c r="C144" s="11">
        <f>SUMIFS(Listings!$I$7:$I$306,Listings!$D$7:$D$306,$A144)</f>
        <v>1</v>
      </c>
      <c r="D144" s="11">
        <f>COUNTIFS(Listings!$D$7:$D$306,$A144,Listings!$F$7:$F$306,"Primary")</f>
        <v>0</v>
      </c>
      <c r="E144" s="11">
        <f>COUNTIFS(Listings!$D$7:$D$306,$A144,Listings!$F$7:$F$306,"&lt;&gt;Primary")</f>
        <v>1</v>
      </c>
      <c r="F144" s="11">
        <f t="shared" si="4"/>
        <v>1</v>
      </c>
    </row>
    <row r="145" spans="1:6" ht="22.95" customHeight="1">
      <c r="A145" s="1" t="s">
        <v>303</v>
      </c>
      <c r="B145" s="1" t="s">
        <v>304</v>
      </c>
      <c r="C145" s="11">
        <f>SUMIFS(Listings!$I$7:$I$306,Listings!$D$7:$D$306,$A145)</f>
        <v>1</v>
      </c>
      <c r="D145" s="11">
        <f>COUNTIFS(Listings!$D$7:$D$306,$A145,Listings!$F$7:$F$306,"Primary")</f>
        <v>1</v>
      </c>
      <c r="E145" s="11">
        <f>COUNTIFS(Listings!$D$7:$D$306,$A145,Listings!$F$7:$F$306,"&lt;&gt;Primary")</f>
        <v>0</v>
      </c>
      <c r="F145" s="11">
        <f t="shared" si="4"/>
        <v>1</v>
      </c>
    </row>
    <row r="146" spans="1:6" ht="22.95" customHeight="1">
      <c r="A146" s="1" t="s">
        <v>305</v>
      </c>
      <c r="B146" s="1" t="s">
        <v>306</v>
      </c>
      <c r="C146" s="11">
        <f>SUMIFS(Listings!$I$7:$I$306,Listings!$D$7:$D$306,$A146)</f>
        <v>1</v>
      </c>
      <c r="D146" s="11">
        <f>COUNTIFS(Listings!$D$7:$D$306,$A146,Listings!$F$7:$F$306,"Primary")</f>
        <v>0</v>
      </c>
      <c r="E146" s="11">
        <f>COUNTIFS(Listings!$D$7:$D$306,$A146,Listings!$F$7:$F$306,"&lt;&gt;Primary")</f>
        <v>1</v>
      </c>
      <c r="F146" s="11">
        <f t="shared" si="4"/>
        <v>1</v>
      </c>
    </row>
    <row r="147" spans="1:6" ht="22.95" customHeight="1">
      <c r="A147" s="1" t="s">
        <v>307</v>
      </c>
      <c r="B147" s="1" t="s">
        <v>308</v>
      </c>
      <c r="C147" s="11">
        <f>SUMIFS(Listings!$I$7:$I$306,Listings!$D$7:$D$306,$A147)</f>
        <v>1</v>
      </c>
      <c r="D147" s="11">
        <f>COUNTIFS(Listings!$D$7:$D$306,$A147,Listings!$F$7:$F$306,"Primary")</f>
        <v>0</v>
      </c>
      <c r="E147" s="11">
        <f>COUNTIFS(Listings!$D$7:$D$306,$A147,Listings!$F$7:$F$306,"&lt;&gt;Primary")</f>
        <v>1</v>
      </c>
      <c r="F147" s="11">
        <f t="shared" si="4"/>
        <v>1</v>
      </c>
    </row>
    <row r="148" spans="1:6" ht="22.95" customHeight="1">
      <c r="A148" s="1" t="s">
        <v>309</v>
      </c>
      <c r="B148" s="1" t="s">
        <v>310</v>
      </c>
      <c r="C148" s="11">
        <f>SUMIFS(Listings!$I$7:$I$306,Listings!$D$7:$D$306,$A148)</f>
        <v>1</v>
      </c>
      <c r="D148" s="11">
        <f>COUNTIFS(Listings!$D$7:$D$306,$A148,Listings!$F$7:$F$306,"Primary")</f>
        <v>0</v>
      </c>
      <c r="E148" s="11">
        <f>COUNTIFS(Listings!$D$7:$D$306,$A148,Listings!$F$7:$F$306,"&lt;&gt;Primary")</f>
        <v>1</v>
      </c>
      <c r="F148" s="11">
        <f t="shared" si="4"/>
        <v>1</v>
      </c>
    </row>
    <row r="149" spans="1:6" ht="22.95" customHeight="1">
      <c r="A149" s="1" t="s">
        <v>311</v>
      </c>
      <c r="B149" s="1" t="s">
        <v>312</v>
      </c>
      <c r="C149" s="11">
        <f>SUMIFS(Listings!$I$7:$I$306,Listings!$D$7:$D$306,$A149)</f>
        <v>1</v>
      </c>
      <c r="D149" s="11">
        <f>COUNTIFS(Listings!$D$7:$D$306,$A149,Listings!$F$7:$F$306,"Primary")</f>
        <v>0</v>
      </c>
      <c r="E149" s="11">
        <f>COUNTIFS(Listings!$D$7:$D$306,$A149,Listings!$F$7:$F$306,"&lt;&gt;Primary")</f>
        <v>1</v>
      </c>
      <c r="F149" s="11">
        <f t="shared" si="4"/>
        <v>1</v>
      </c>
    </row>
    <row r="150" spans="1:6" ht="22.95" customHeight="1">
      <c r="A150" s="1" t="s">
        <v>313</v>
      </c>
      <c r="B150" s="1" t="s">
        <v>314</v>
      </c>
      <c r="C150" s="11">
        <f>SUMIFS(Listings!$I$7:$I$306,Listings!$D$7:$D$306,$A150)</f>
        <v>1</v>
      </c>
      <c r="D150" s="11">
        <f>COUNTIFS(Listings!$D$7:$D$306,$A150,Listings!$F$7:$F$306,"Primary")</f>
        <v>0</v>
      </c>
      <c r="E150" s="11">
        <f>COUNTIFS(Listings!$D$7:$D$306,$A150,Listings!$F$7:$F$306,"&lt;&gt;Primary")</f>
        <v>1</v>
      </c>
      <c r="F150" s="11">
        <f t="shared" si="4"/>
        <v>1</v>
      </c>
    </row>
    <row r="151" spans="1:6" ht="22.95" customHeight="1">
      <c r="A151" s="1" t="s">
        <v>315</v>
      </c>
      <c r="B151" s="1" t="s">
        <v>316</v>
      </c>
      <c r="C151" s="11">
        <f>SUMIFS(Listings!$I$7:$I$306,Listings!$D$7:$D$306,$A151)</f>
        <v>1</v>
      </c>
      <c r="D151" s="11">
        <f>COUNTIFS(Listings!$D$7:$D$306,$A151,Listings!$F$7:$F$306,"Primary")</f>
        <v>1</v>
      </c>
      <c r="E151" s="11">
        <f>COUNTIFS(Listings!$D$7:$D$306,$A151,Listings!$F$7:$F$306,"&lt;&gt;Primary")</f>
        <v>0</v>
      </c>
      <c r="F151" s="11">
        <f t="shared" si="4"/>
        <v>1</v>
      </c>
    </row>
    <row r="152" spans="1:6" ht="22.95" customHeight="1">
      <c r="A152" s="1" t="s">
        <v>317</v>
      </c>
      <c r="B152" s="1" t="s">
        <v>318</v>
      </c>
      <c r="C152" s="11">
        <f>SUMIFS(Listings!$I$7:$I$306,Listings!$D$7:$D$306,$A152)</f>
        <v>1</v>
      </c>
      <c r="D152" s="11">
        <f>COUNTIFS(Listings!$D$7:$D$306,$A152,Listings!$F$7:$F$306,"Primary")</f>
        <v>0</v>
      </c>
      <c r="E152" s="11">
        <f>COUNTIFS(Listings!$D$7:$D$306,$A152,Listings!$F$7:$F$306,"&lt;&gt;Primary")</f>
        <v>1</v>
      </c>
      <c r="F152" s="11">
        <f t="shared" si="4"/>
        <v>1</v>
      </c>
    </row>
    <row r="153" spans="1:6" ht="22.95" customHeight="1">
      <c r="A153" s="1" t="s">
        <v>319</v>
      </c>
      <c r="B153" s="1" t="s">
        <v>320</v>
      </c>
      <c r="C153" s="11">
        <f>SUMIFS(Listings!$I$7:$I$306,Listings!$D$7:$D$306,$A153)</f>
        <v>1</v>
      </c>
      <c r="D153" s="11">
        <f>COUNTIFS(Listings!$D$7:$D$306,$A153,Listings!$F$7:$F$306,"Primary")</f>
        <v>1</v>
      </c>
      <c r="E153" s="11">
        <f>COUNTIFS(Listings!$D$7:$D$306,$A153,Listings!$F$7:$F$306,"&lt;&gt;Primary")</f>
        <v>0</v>
      </c>
      <c r="F153" s="11">
        <f t="shared" si="4"/>
        <v>1</v>
      </c>
    </row>
    <row r="154" spans="1:6" ht="22.95" customHeight="1">
      <c r="A154" s="1" t="s">
        <v>321</v>
      </c>
      <c r="B154" s="1" t="s">
        <v>322</v>
      </c>
      <c r="C154" s="11">
        <f>SUMIFS(Listings!$I$7:$I$306,Listings!$D$7:$D$306,$A154)</f>
        <v>1</v>
      </c>
      <c r="D154" s="11">
        <f>COUNTIFS(Listings!$D$7:$D$306,$A154,Listings!$F$7:$F$306,"Primary")</f>
        <v>1</v>
      </c>
      <c r="E154" s="11">
        <f>COUNTIFS(Listings!$D$7:$D$306,$A154,Listings!$F$7:$F$306,"&lt;&gt;Primary")</f>
        <v>0</v>
      </c>
      <c r="F154" s="11">
        <f t="shared" si="4"/>
        <v>1</v>
      </c>
    </row>
    <row r="155" spans="1:6" ht="22.95" customHeight="1">
      <c r="A155" s="1" t="s">
        <v>323</v>
      </c>
      <c r="B155" s="1" t="s">
        <v>324</v>
      </c>
      <c r="C155" s="11">
        <f>SUMIFS(Listings!$I$7:$I$306,Listings!$D$7:$D$306,$A155)</f>
        <v>1</v>
      </c>
      <c r="D155" s="11">
        <f>COUNTIFS(Listings!$D$7:$D$306,$A155,Listings!$F$7:$F$306,"Primary")</f>
        <v>0</v>
      </c>
      <c r="E155" s="11">
        <f>COUNTIFS(Listings!$D$7:$D$306,$A155,Listings!$F$7:$F$306,"&lt;&gt;Primary")</f>
        <v>1</v>
      </c>
      <c r="F155" s="11">
        <f t="shared" si="4"/>
        <v>1</v>
      </c>
    </row>
    <row r="156" spans="1:6" ht="22.95" customHeight="1">
      <c r="A156" s="1" t="s">
        <v>325</v>
      </c>
      <c r="B156" s="1" t="s">
        <v>326</v>
      </c>
      <c r="C156" s="11">
        <f>SUMIFS(Listings!$I$7:$I$306,Listings!$D$7:$D$306,$A156)</f>
        <v>1</v>
      </c>
      <c r="D156" s="11">
        <f>COUNTIFS(Listings!$D$7:$D$306,$A156,Listings!$F$7:$F$306,"Primary")</f>
        <v>1</v>
      </c>
      <c r="E156" s="11">
        <f>COUNTIFS(Listings!$D$7:$D$306,$A156,Listings!$F$7:$F$306,"&lt;&gt;Primary")</f>
        <v>0</v>
      </c>
      <c r="F156" s="11">
        <f t="shared" si="4"/>
        <v>1</v>
      </c>
    </row>
    <row r="157" spans="1:6" ht="22.95" customHeight="1">
      <c r="A157" s="1" t="s">
        <v>327</v>
      </c>
      <c r="B157" s="1" t="s">
        <v>328</v>
      </c>
      <c r="C157" s="11">
        <f>SUMIFS(Listings!$I$7:$I$306,Listings!$D$7:$D$306,$A157)</f>
        <v>1</v>
      </c>
      <c r="D157" s="11">
        <f>COUNTIFS(Listings!$D$7:$D$306,$A157,Listings!$F$7:$F$306,"Primary")</f>
        <v>1</v>
      </c>
      <c r="E157" s="11">
        <f>COUNTIFS(Listings!$D$7:$D$306,$A157,Listings!$F$7:$F$306,"&lt;&gt;Primary")</f>
        <v>0</v>
      </c>
      <c r="F157" s="11">
        <f t="shared" si="4"/>
        <v>1</v>
      </c>
    </row>
    <row r="158" spans="1:6" ht="22.95" customHeight="1">
      <c r="A158" s="1" t="s">
        <v>329</v>
      </c>
      <c r="B158" s="1" t="s">
        <v>330</v>
      </c>
      <c r="C158" s="11">
        <f>SUMIFS(Listings!$I$7:$I$306,Listings!$D$7:$D$306,$A158)</f>
        <v>1</v>
      </c>
      <c r="D158" s="11">
        <f>COUNTIFS(Listings!$D$7:$D$306,$A158,Listings!$F$7:$F$306,"Primary")</f>
        <v>0</v>
      </c>
      <c r="E158" s="11">
        <f>COUNTIFS(Listings!$D$7:$D$306,$A158,Listings!$F$7:$F$306,"&lt;&gt;Primary")</f>
        <v>1</v>
      </c>
      <c r="F158" s="11">
        <f t="shared" si="4"/>
        <v>1</v>
      </c>
    </row>
    <row r="159" spans="1:6" ht="22.95" customHeight="1">
      <c r="A159" s="1" t="s">
        <v>331</v>
      </c>
      <c r="B159" s="1" t="s">
        <v>332</v>
      </c>
      <c r="C159" s="11">
        <f>SUMIFS(Listings!$I$7:$I$306,Listings!$D$7:$D$306,$A159)</f>
        <v>1</v>
      </c>
      <c r="D159" s="11">
        <f>COUNTIFS(Listings!$D$7:$D$306,$A159,Listings!$F$7:$F$306,"Primary")</f>
        <v>1</v>
      </c>
      <c r="E159" s="11">
        <f>COUNTIFS(Listings!$D$7:$D$306,$A159,Listings!$F$7:$F$306,"&lt;&gt;Primary")</f>
        <v>0</v>
      </c>
      <c r="F159" s="11">
        <f t="shared" si="4"/>
        <v>1</v>
      </c>
    </row>
    <row r="160" spans="1:6" ht="22.95" customHeight="1">
      <c r="A160" s="1" t="s">
        <v>333</v>
      </c>
      <c r="B160" s="1" t="s">
        <v>334</v>
      </c>
      <c r="C160" s="11">
        <f>SUMIFS(Listings!$I$7:$I$306,Listings!$D$7:$D$306,$A160)</f>
        <v>1</v>
      </c>
      <c r="D160" s="11">
        <f>COUNTIFS(Listings!$D$7:$D$306,$A160,Listings!$F$7:$F$306,"Primary")</f>
        <v>0</v>
      </c>
      <c r="E160" s="11">
        <f>COUNTIFS(Listings!$D$7:$D$306,$A160,Listings!$F$7:$F$306,"&lt;&gt;Primary")</f>
        <v>1</v>
      </c>
      <c r="F160" s="11">
        <f t="shared" si="4"/>
        <v>1</v>
      </c>
    </row>
    <row r="161" spans="1:6" ht="22.95" customHeight="1">
      <c r="A161" s="1" t="s">
        <v>335</v>
      </c>
      <c r="B161" s="1" t="s">
        <v>336</v>
      </c>
      <c r="C161" s="11">
        <f>SUMIFS(Listings!$I$7:$I$306,Listings!$D$7:$D$306,$A161)</f>
        <v>1</v>
      </c>
      <c r="D161" s="11">
        <f>COUNTIFS(Listings!$D$7:$D$306,$A161,Listings!$F$7:$F$306,"Primary")</f>
        <v>0</v>
      </c>
      <c r="E161" s="11">
        <f>COUNTIFS(Listings!$D$7:$D$306,$A161,Listings!$F$7:$F$306,"&lt;&gt;Primary")</f>
        <v>1</v>
      </c>
      <c r="F161" s="11">
        <f t="shared" si="4"/>
        <v>1</v>
      </c>
    </row>
    <row r="162" spans="1:6" ht="22.95" customHeight="1">
      <c r="A162" s="1" t="s">
        <v>337</v>
      </c>
      <c r="B162" s="1" t="s">
        <v>338</v>
      </c>
      <c r="C162" s="11">
        <f>SUMIFS(Listings!$I$7:$I$306,Listings!$D$7:$D$306,$A162)</f>
        <v>1</v>
      </c>
      <c r="D162" s="11">
        <f>COUNTIFS(Listings!$D$7:$D$306,$A162,Listings!$F$7:$F$306,"Primary")</f>
        <v>1</v>
      </c>
      <c r="E162" s="11">
        <f>COUNTIFS(Listings!$D$7:$D$306,$A162,Listings!$F$7:$F$306,"&lt;&gt;Primary")</f>
        <v>0</v>
      </c>
      <c r="F162" s="11">
        <f t="shared" si="4"/>
        <v>1</v>
      </c>
    </row>
    <row r="163" spans="1:6" ht="22.95" customHeight="1">
      <c r="A163" s="1" t="s">
        <v>339</v>
      </c>
      <c r="B163" s="1" t="s">
        <v>340</v>
      </c>
      <c r="C163" s="11">
        <f>SUMIFS(Listings!$I$7:$I$306,Listings!$D$7:$D$306,$A163)</f>
        <v>1</v>
      </c>
      <c r="D163" s="11">
        <f>COUNTIFS(Listings!$D$7:$D$306,$A163,Listings!$F$7:$F$306,"Primary")</f>
        <v>0</v>
      </c>
      <c r="E163" s="11">
        <f>COUNTIFS(Listings!$D$7:$D$306,$A163,Listings!$F$7:$F$306,"&lt;&gt;Primary")</f>
        <v>1</v>
      </c>
      <c r="F163" s="11">
        <f t="shared" si="4"/>
        <v>1</v>
      </c>
    </row>
    <row r="164" spans="1:6" ht="22.95" customHeight="1">
      <c r="A164" s="1" t="s">
        <v>341</v>
      </c>
      <c r="B164" s="1" t="s">
        <v>342</v>
      </c>
      <c r="C164" s="11">
        <f>SUMIFS(Listings!$I$7:$I$306,Listings!$D$7:$D$306,$A164)</f>
        <v>1</v>
      </c>
      <c r="D164" s="11">
        <f>COUNTIFS(Listings!$D$7:$D$306,$A164,Listings!$F$7:$F$306,"Primary")</f>
        <v>0</v>
      </c>
      <c r="E164" s="11">
        <f>COUNTIFS(Listings!$D$7:$D$306,$A164,Listings!$F$7:$F$306,"&lt;&gt;Primary")</f>
        <v>1</v>
      </c>
      <c r="F164" s="11">
        <f t="shared" si="4"/>
        <v>1</v>
      </c>
    </row>
    <row r="165" spans="1:6" ht="22.95" customHeight="1">
      <c r="A165" s="1" t="s">
        <v>343</v>
      </c>
      <c r="B165" s="1" t="s">
        <v>344</v>
      </c>
      <c r="C165" s="11">
        <f>SUMIFS(Listings!$I$7:$I$306,Listings!$D$7:$D$306,$A165)</f>
        <v>1</v>
      </c>
      <c r="D165" s="11">
        <f>COUNTIFS(Listings!$D$7:$D$306,$A165,Listings!$F$7:$F$306,"Primary")</f>
        <v>1</v>
      </c>
      <c r="E165" s="11">
        <f>COUNTIFS(Listings!$D$7:$D$306,$A165,Listings!$F$7:$F$306,"&lt;&gt;Primary")</f>
        <v>0</v>
      </c>
      <c r="F165" s="11">
        <f t="shared" si="4"/>
        <v>1</v>
      </c>
    </row>
    <row r="166" spans="1:6" ht="22.95" customHeight="1">
      <c r="A166" s="1" t="s">
        <v>345</v>
      </c>
      <c r="B166" s="1" t="s">
        <v>346</v>
      </c>
      <c r="C166" s="11">
        <f>SUMIFS(Listings!$I$7:$I$306,Listings!$D$7:$D$306,$A166)</f>
        <v>1</v>
      </c>
      <c r="D166" s="11">
        <f>COUNTIFS(Listings!$D$7:$D$306,$A166,Listings!$F$7:$F$306,"Primary")</f>
        <v>0</v>
      </c>
      <c r="E166" s="11">
        <f>COUNTIFS(Listings!$D$7:$D$306,$A166,Listings!$F$7:$F$306,"&lt;&gt;Primary")</f>
        <v>1</v>
      </c>
      <c r="F166" s="11">
        <f t="shared" si="4"/>
        <v>1</v>
      </c>
    </row>
    <row r="167" spans="1:6" ht="22.95" customHeight="1">
      <c r="A167" s="1" t="s">
        <v>347</v>
      </c>
      <c r="B167" s="1" t="s">
        <v>348</v>
      </c>
      <c r="C167" s="11">
        <f>SUMIFS(Listings!$I$7:$I$306,Listings!$D$7:$D$306,$A167)</f>
        <v>1</v>
      </c>
      <c r="D167" s="11">
        <f>COUNTIFS(Listings!$D$7:$D$306,$A167,Listings!$F$7:$F$306,"Primary")</f>
        <v>0</v>
      </c>
      <c r="E167" s="11">
        <f>COUNTIFS(Listings!$D$7:$D$306,$A167,Listings!$F$7:$F$306,"&lt;&gt;Primary")</f>
        <v>1</v>
      </c>
      <c r="F167" s="11">
        <f t="shared" ref="F167:F198" si="5">SUM(D167:E167)</f>
        <v>1</v>
      </c>
    </row>
    <row r="168" spans="1:6" ht="22.95" customHeight="1">
      <c r="A168" s="1" t="s">
        <v>349</v>
      </c>
      <c r="B168" s="1" t="s">
        <v>350</v>
      </c>
      <c r="C168" s="11">
        <f>SUMIFS(Listings!$I$7:$I$306,Listings!$D$7:$D$306,$A168)</f>
        <v>1</v>
      </c>
      <c r="D168" s="11">
        <f>COUNTIFS(Listings!$D$7:$D$306,$A168,Listings!$F$7:$F$306,"Primary")</f>
        <v>0</v>
      </c>
      <c r="E168" s="11">
        <f>COUNTIFS(Listings!$D$7:$D$306,$A168,Listings!$F$7:$F$306,"&lt;&gt;Primary")</f>
        <v>1</v>
      </c>
      <c r="F168" s="11">
        <f t="shared" si="5"/>
        <v>1</v>
      </c>
    </row>
    <row r="169" spans="1:6" ht="22.95" customHeight="1">
      <c r="A169" s="1" t="s">
        <v>351</v>
      </c>
      <c r="B169" s="1" t="s">
        <v>352</v>
      </c>
      <c r="C169" s="11">
        <f>SUMIFS(Listings!$I$7:$I$306,Listings!$D$7:$D$306,$A169)</f>
        <v>1</v>
      </c>
      <c r="D169" s="11">
        <f>COUNTIFS(Listings!$D$7:$D$306,$A169,Listings!$F$7:$F$306,"Primary")</f>
        <v>0</v>
      </c>
      <c r="E169" s="11">
        <f>COUNTIFS(Listings!$D$7:$D$306,$A169,Listings!$F$7:$F$306,"&lt;&gt;Primary")</f>
        <v>1</v>
      </c>
      <c r="F169" s="11">
        <f t="shared" si="5"/>
        <v>1</v>
      </c>
    </row>
    <row r="170" spans="1:6" ht="22.95" customHeight="1">
      <c r="A170" s="1" t="s">
        <v>353</v>
      </c>
      <c r="B170" s="1" t="s">
        <v>354</v>
      </c>
      <c r="C170" s="11">
        <f>SUMIFS(Listings!$I$7:$I$306,Listings!$D$7:$D$306,$A170)</f>
        <v>1</v>
      </c>
      <c r="D170" s="11">
        <f>COUNTIFS(Listings!$D$7:$D$306,$A170,Listings!$F$7:$F$306,"Primary")</f>
        <v>1</v>
      </c>
      <c r="E170" s="11">
        <f>COUNTIFS(Listings!$D$7:$D$306,$A170,Listings!$F$7:$F$306,"&lt;&gt;Primary")</f>
        <v>0</v>
      </c>
      <c r="F170" s="11">
        <f t="shared" si="5"/>
        <v>1</v>
      </c>
    </row>
    <row r="171" spans="1:6" ht="22.95" customHeight="1">
      <c r="A171" s="1" t="s">
        <v>355</v>
      </c>
      <c r="B171" s="1" t="s">
        <v>356</v>
      </c>
      <c r="C171" s="11">
        <f>SUMIFS(Listings!$I$7:$I$306,Listings!$D$7:$D$306,$A171)</f>
        <v>1</v>
      </c>
      <c r="D171" s="11">
        <f>COUNTIFS(Listings!$D$7:$D$306,$A171,Listings!$F$7:$F$306,"Primary")</f>
        <v>0</v>
      </c>
      <c r="E171" s="11">
        <f>COUNTIFS(Listings!$D$7:$D$306,$A171,Listings!$F$7:$F$306,"&lt;&gt;Primary")</f>
        <v>1</v>
      </c>
      <c r="F171" s="11">
        <f t="shared" si="5"/>
        <v>1</v>
      </c>
    </row>
    <row r="172" spans="1:6" ht="22.95" customHeight="1">
      <c r="A172" s="1" t="s">
        <v>357</v>
      </c>
      <c r="B172" s="1" t="s">
        <v>358</v>
      </c>
      <c r="C172" s="11">
        <f>SUMIFS(Listings!$I$7:$I$306,Listings!$D$7:$D$306,$A172)</f>
        <v>1</v>
      </c>
      <c r="D172" s="11">
        <f>COUNTIFS(Listings!$D$7:$D$306,$A172,Listings!$F$7:$F$306,"Primary")</f>
        <v>0</v>
      </c>
      <c r="E172" s="11">
        <f>COUNTIFS(Listings!$D$7:$D$306,$A172,Listings!$F$7:$F$306,"&lt;&gt;Primary")</f>
        <v>1</v>
      </c>
      <c r="F172" s="11">
        <f t="shared" si="5"/>
        <v>1</v>
      </c>
    </row>
    <row r="173" spans="1:6" ht="22.95" customHeight="1">
      <c r="A173" s="1" t="s">
        <v>359</v>
      </c>
      <c r="B173" s="1" t="s">
        <v>360</v>
      </c>
      <c r="C173" s="11">
        <f>SUMIFS(Listings!$I$7:$I$306,Listings!$D$7:$D$306,$A173)</f>
        <v>1</v>
      </c>
      <c r="D173" s="11">
        <f>COUNTIFS(Listings!$D$7:$D$306,$A173,Listings!$F$7:$F$306,"Primary")</f>
        <v>0</v>
      </c>
      <c r="E173" s="11">
        <f>COUNTIFS(Listings!$D$7:$D$306,$A173,Listings!$F$7:$F$306,"&lt;&gt;Primary")</f>
        <v>1</v>
      </c>
      <c r="F173" s="11">
        <f t="shared" si="5"/>
        <v>1</v>
      </c>
    </row>
    <row r="174" spans="1:6" ht="22.95" customHeight="1">
      <c r="A174" s="1" t="s">
        <v>361</v>
      </c>
      <c r="B174" s="1" t="s">
        <v>362</v>
      </c>
      <c r="C174" s="11">
        <f>SUMIFS(Listings!$I$7:$I$306,Listings!$D$7:$D$306,$A174)</f>
        <v>1</v>
      </c>
      <c r="D174" s="11">
        <f>COUNTIFS(Listings!$D$7:$D$306,$A174,Listings!$F$7:$F$306,"Primary")</f>
        <v>0</v>
      </c>
      <c r="E174" s="11">
        <f>COUNTIFS(Listings!$D$7:$D$306,$A174,Listings!$F$7:$F$306,"&lt;&gt;Primary")</f>
        <v>1</v>
      </c>
      <c r="F174" s="11">
        <f t="shared" si="5"/>
        <v>1</v>
      </c>
    </row>
    <row r="175" spans="1:6" ht="22.95" customHeight="1">
      <c r="A175" s="1" t="s">
        <v>363</v>
      </c>
      <c r="B175" s="1" t="s">
        <v>364</v>
      </c>
      <c r="C175" s="11">
        <f>SUMIFS(Listings!$I$7:$I$306,Listings!$D$7:$D$306,$A175)</f>
        <v>1</v>
      </c>
      <c r="D175" s="11">
        <f>COUNTIFS(Listings!$D$7:$D$306,$A175,Listings!$F$7:$F$306,"Primary")</f>
        <v>1</v>
      </c>
      <c r="E175" s="11">
        <f>COUNTIFS(Listings!$D$7:$D$306,$A175,Listings!$F$7:$F$306,"&lt;&gt;Primary")</f>
        <v>0</v>
      </c>
      <c r="F175" s="11">
        <f t="shared" si="5"/>
        <v>1</v>
      </c>
    </row>
    <row r="176" spans="1:6" ht="22.95" customHeight="1">
      <c r="A176" s="1" t="s">
        <v>365</v>
      </c>
      <c r="B176" s="1" t="s">
        <v>366</v>
      </c>
      <c r="C176" s="11">
        <f>SUMIFS(Listings!$I$7:$I$306,Listings!$D$7:$D$306,$A176)</f>
        <v>1</v>
      </c>
      <c r="D176" s="11">
        <f>COUNTIFS(Listings!$D$7:$D$306,$A176,Listings!$F$7:$F$306,"Primary")</f>
        <v>0</v>
      </c>
      <c r="E176" s="11">
        <f>COUNTIFS(Listings!$D$7:$D$306,$A176,Listings!$F$7:$F$306,"&lt;&gt;Primary")</f>
        <v>1</v>
      </c>
      <c r="F176" s="11">
        <f t="shared" si="5"/>
        <v>1</v>
      </c>
    </row>
    <row r="177" spans="1:6" ht="22.95" customHeight="1">
      <c r="A177" s="1" t="s">
        <v>367</v>
      </c>
      <c r="B177" s="1" t="s">
        <v>368</v>
      </c>
      <c r="C177" s="11">
        <f>SUMIFS(Listings!$I$7:$I$306,Listings!$D$7:$D$306,$A177)</f>
        <v>1</v>
      </c>
      <c r="D177" s="11">
        <f>COUNTIFS(Listings!$D$7:$D$306,$A177,Listings!$F$7:$F$306,"Primary")</f>
        <v>1</v>
      </c>
      <c r="E177" s="11">
        <f>COUNTIFS(Listings!$D$7:$D$306,$A177,Listings!$F$7:$F$306,"&lt;&gt;Primary")</f>
        <v>0</v>
      </c>
      <c r="F177" s="11">
        <f t="shared" si="5"/>
        <v>1</v>
      </c>
    </row>
    <row r="178" spans="1:6" ht="22.95" customHeight="1">
      <c r="A178" s="1" t="s">
        <v>369</v>
      </c>
      <c r="B178" s="1" t="s">
        <v>370</v>
      </c>
      <c r="C178" s="11">
        <f>SUMIFS(Listings!$I$7:$I$306,Listings!$D$7:$D$306,$A178)</f>
        <v>1</v>
      </c>
      <c r="D178" s="11">
        <f>COUNTIFS(Listings!$D$7:$D$306,$A178,Listings!$F$7:$F$306,"Primary")</f>
        <v>1</v>
      </c>
      <c r="E178" s="11">
        <f>COUNTIFS(Listings!$D$7:$D$306,$A178,Listings!$F$7:$F$306,"&lt;&gt;Primary")</f>
        <v>0</v>
      </c>
      <c r="F178" s="11">
        <f t="shared" si="5"/>
        <v>1</v>
      </c>
    </row>
    <row r="179" spans="1:6" ht="22.95" customHeight="1">
      <c r="A179" s="1" t="s">
        <v>371</v>
      </c>
      <c r="B179" s="1" t="s">
        <v>372</v>
      </c>
      <c r="C179" s="11">
        <f>SUMIFS(Listings!$I$7:$I$306,Listings!$D$7:$D$306,$A179)</f>
        <v>1</v>
      </c>
      <c r="D179" s="11">
        <f>COUNTIFS(Listings!$D$7:$D$306,$A179,Listings!$F$7:$F$306,"Primary")</f>
        <v>1</v>
      </c>
      <c r="E179" s="11">
        <f>COUNTIFS(Listings!$D$7:$D$306,$A179,Listings!$F$7:$F$306,"&lt;&gt;Primary")</f>
        <v>0</v>
      </c>
      <c r="F179" s="11">
        <f t="shared" si="5"/>
        <v>1</v>
      </c>
    </row>
    <row r="180" spans="1:6" ht="22.95" customHeight="1">
      <c r="A180" s="1" t="s">
        <v>373</v>
      </c>
      <c r="B180" s="1" t="s">
        <v>374</v>
      </c>
      <c r="C180" s="11">
        <f>SUMIFS(Listings!$I$7:$I$306,Listings!$D$7:$D$306,$A180)</f>
        <v>1</v>
      </c>
      <c r="D180" s="11">
        <f>COUNTIFS(Listings!$D$7:$D$306,$A180,Listings!$F$7:$F$306,"Primary")</f>
        <v>0</v>
      </c>
      <c r="E180" s="11">
        <f>COUNTIFS(Listings!$D$7:$D$306,$A180,Listings!$F$7:$F$306,"&lt;&gt;Primary")</f>
        <v>1</v>
      </c>
      <c r="F180" s="11">
        <f t="shared" si="5"/>
        <v>1</v>
      </c>
    </row>
    <row r="181" spans="1:6" ht="22.95" customHeight="1">
      <c r="A181" s="1" t="s">
        <v>375</v>
      </c>
      <c r="B181" s="1" t="s">
        <v>376</v>
      </c>
      <c r="C181" s="11">
        <f>SUMIFS(Listings!$I$7:$I$306,Listings!$D$7:$D$306,$A181)</f>
        <v>1</v>
      </c>
      <c r="D181" s="11">
        <f>COUNTIFS(Listings!$D$7:$D$306,$A181,Listings!$F$7:$F$306,"Primary")</f>
        <v>1</v>
      </c>
      <c r="E181" s="11">
        <f>COUNTIFS(Listings!$D$7:$D$306,$A181,Listings!$F$7:$F$306,"&lt;&gt;Primary")</f>
        <v>0</v>
      </c>
      <c r="F181" s="11">
        <f t="shared" si="5"/>
        <v>1</v>
      </c>
    </row>
    <row r="182" spans="1:6" ht="22.95" customHeight="1">
      <c r="A182" s="1" t="s">
        <v>377</v>
      </c>
      <c r="B182" s="1" t="s">
        <v>378</v>
      </c>
      <c r="C182" s="11">
        <f>SUMIFS(Listings!$I$7:$I$306,Listings!$D$7:$D$306,$A182)</f>
        <v>1</v>
      </c>
      <c r="D182" s="11">
        <f>COUNTIFS(Listings!$D$7:$D$306,$A182,Listings!$F$7:$F$306,"Primary")</f>
        <v>0</v>
      </c>
      <c r="E182" s="11">
        <f>COUNTIFS(Listings!$D$7:$D$306,$A182,Listings!$F$7:$F$306,"&lt;&gt;Primary")</f>
        <v>1</v>
      </c>
      <c r="F182" s="11">
        <f t="shared" si="5"/>
        <v>1</v>
      </c>
    </row>
    <row r="183" spans="1:6" ht="22.95" customHeight="1">
      <c r="A183" s="1" t="s">
        <v>379</v>
      </c>
      <c r="B183" s="1" t="s">
        <v>380</v>
      </c>
      <c r="C183" s="11">
        <f>SUMIFS(Listings!$I$7:$I$306,Listings!$D$7:$D$306,$A183)</f>
        <v>1</v>
      </c>
      <c r="D183" s="11">
        <f>COUNTIFS(Listings!$D$7:$D$306,$A183,Listings!$F$7:$F$306,"Primary")</f>
        <v>1</v>
      </c>
      <c r="E183" s="11">
        <f>COUNTIFS(Listings!$D$7:$D$306,$A183,Listings!$F$7:$F$306,"&lt;&gt;Primary")</f>
        <v>0</v>
      </c>
      <c r="F183" s="11">
        <f t="shared" si="5"/>
        <v>1</v>
      </c>
    </row>
    <row r="184" spans="1:6" ht="22.95" customHeight="1">
      <c r="A184" s="1" t="s">
        <v>381</v>
      </c>
      <c r="B184" s="1" t="s">
        <v>382</v>
      </c>
      <c r="C184" s="11">
        <f>SUMIFS(Listings!$I$7:$I$306,Listings!$D$7:$D$306,$A184)</f>
        <v>1</v>
      </c>
      <c r="D184" s="11">
        <f>COUNTIFS(Listings!$D$7:$D$306,$A184,Listings!$F$7:$F$306,"Primary")</f>
        <v>1</v>
      </c>
      <c r="E184" s="11">
        <f>COUNTIFS(Listings!$D$7:$D$306,$A184,Listings!$F$7:$F$306,"&lt;&gt;Primary")</f>
        <v>0</v>
      </c>
      <c r="F184" s="11">
        <f t="shared" si="5"/>
        <v>1</v>
      </c>
    </row>
    <row r="185" spans="1:6" ht="22.95" customHeight="1">
      <c r="A185" s="1" t="s">
        <v>383</v>
      </c>
      <c r="B185" s="1" t="s">
        <v>384</v>
      </c>
      <c r="C185" s="11">
        <f>SUMIFS(Listings!$I$7:$I$306,Listings!$D$7:$D$306,$A185)</f>
        <v>1</v>
      </c>
      <c r="D185" s="11">
        <f>COUNTIFS(Listings!$D$7:$D$306,$A185,Listings!$F$7:$F$306,"Primary")</f>
        <v>1</v>
      </c>
      <c r="E185" s="11">
        <f>COUNTIFS(Listings!$D$7:$D$306,$A185,Listings!$F$7:$F$306,"&lt;&gt;Primary")</f>
        <v>0</v>
      </c>
      <c r="F185" s="11">
        <f t="shared" si="5"/>
        <v>1</v>
      </c>
    </row>
    <row r="186" spans="1:6" ht="22.95" customHeight="1">
      <c r="A186" s="1" t="s">
        <v>385</v>
      </c>
      <c r="B186" s="1" t="s">
        <v>386</v>
      </c>
      <c r="C186" s="11">
        <f>SUMIFS(Listings!$I$7:$I$306,Listings!$D$7:$D$306,$A186)</f>
        <v>1</v>
      </c>
      <c r="D186" s="11">
        <f>COUNTIFS(Listings!$D$7:$D$306,$A186,Listings!$F$7:$F$306,"Primary")</f>
        <v>0</v>
      </c>
      <c r="E186" s="11">
        <f>COUNTIFS(Listings!$D$7:$D$306,$A186,Listings!$F$7:$F$306,"&lt;&gt;Primary")</f>
        <v>1</v>
      </c>
      <c r="F186" s="11">
        <f t="shared" si="5"/>
        <v>1</v>
      </c>
    </row>
    <row r="187" spans="1:6" ht="22.95" customHeight="1">
      <c r="A187" s="1" t="s">
        <v>387</v>
      </c>
      <c r="B187" s="1" t="s">
        <v>388</v>
      </c>
      <c r="C187" s="11">
        <f>SUMIFS(Listings!$I$7:$I$306,Listings!$D$7:$D$306,$A187)</f>
        <v>1</v>
      </c>
      <c r="D187" s="11">
        <f>COUNTIFS(Listings!$D$7:$D$306,$A187,Listings!$F$7:$F$306,"Primary")</f>
        <v>0</v>
      </c>
      <c r="E187" s="11">
        <f>COUNTIFS(Listings!$D$7:$D$306,$A187,Listings!$F$7:$F$306,"&lt;&gt;Primary")</f>
        <v>1</v>
      </c>
      <c r="F187" s="11">
        <f t="shared" si="5"/>
        <v>1</v>
      </c>
    </row>
    <row r="188" spans="1:6" ht="22.95" customHeight="1">
      <c r="A188" s="1" t="s">
        <v>389</v>
      </c>
      <c r="B188" s="1" t="s">
        <v>390</v>
      </c>
      <c r="C188" s="11">
        <f>SUMIFS(Listings!$I$7:$I$306,Listings!$D$7:$D$306,$A188)</f>
        <v>1</v>
      </c>
      <c r="D188" s="11">
        <f>COUNTIFS(Listings!$D$7:$D$306,$A188,Listings!$F$7:$F$306,"Primary")</f>
        <v>0</v>
      </c>
      <c r="E188" s="11">
        <f>COUNTIFS(Listings!$D$7:$D$306,$A188,Listings!$F$7:$F$306,"&lt;&gt;Primary")</f>
        <v>1</v>
      </c>
      <c r="F188" s="11">
        <f t="shared" si="5"/>
        <v>1</v>
      </c>
    </row>
    <row r="189" spans="1:6" ht="22.95" customHeight="1">
      <c r="A189" s="1" t="s">
        <v>391</v>
      </c>
      <c r="B189" s="1" t="s">
        <v>392</v>
      </c>
      <c r="C189" s="11">
        <f>SUMIFS(Listings!$I$7:$I$306,Listings!$D$7:$D$306,$A189)</f>
        <v>1</v>
      </c>
      <c r="D189" s="11">
        <f>COUNTIFS(Listings!$D$7:$D$306,$A189,Listings!$F$7:$F$306,"Primary")</f>
        <v>0</v>
      </c>
      <c r="E189" s="11">
        <f>COUNTIFS(Listings!$D$7:$D$306,$A189,Listings!$F$7:$F$306,"&lt;&gt;Primary")</f>
        <v>1</v>
      </c>
      <c r="F189" s="11">
        <f t="shared" si="5"/>
        <v>1</v>
      </c>
    </row>
    <row r="190" spans="1:6" ht="22.95" customHeight="1">
      <c r="A190" s="1" t="s">
        <v>393</v>
      </c>
      <c r="B190" s="1" t="s">
        <v>394</v>
      </c>
      <c r="C190" s="11">
        <f>SUMIFS(Listings!$I$7:$I$306,Listings!$D$7:$D$306,$A190)</f>
        <v>1</v>
      </c>
      <c r="D190" s="11">
        <f>COUNTIFS(Listings!$D$7:$D$306,$A190,Listings!$F$7:$F$306,"Primary")</f>
        <v>1</v>
      </c>
      <c r="E190" s="11">
        <f>COUNTIFS(Listings!$D$7:$D$306,$A190,Listings!$F$7:$F$306,"&lt;&gt;Primary")</f>
        <v>0</v>
      </c>
      <c r="F190" s="11">
        <f t="shared" si="5"/>
        <v>1</v>
      </c>
    </row>
    <row r="191" spans="1:6" ht="22.95" customHeight="1">
      <c r="A191" s="1" t="s">
        <v>395</v>
      </c>
      <c r="B191" s="1" t="s">
        <v>396</v>
      </c>
      <c r="C191" s="11">
        <f>SUMIFS(Listings!$I$7:$I$306,Listings!$D$7:$D$306,$A191)</f>
        <v>1</v>
      </c>
      <c r="D191" s="11">
        <f>COUNTIFS(Listings!$D$7:$D$306,$A191,Listings!$F$7:$F$306,"Primary")</f>
        <v>1</v>
      </c>
      <c r="E191" s="11">
        <f>COUNTIFS(Listings!$D$7:$D$306,$A191,Listings!$F$7:$F$306,"&lt;&gt;Primary")</f>
        <v>0</v>
      </c>
      <c r="F191" s="11">
        <f t="shared" si="5"/>
        <v>1</v>
      </c>
    </row>
    <row r="192" spans="1:6" ht="22.95" customHeight="1">
      <c r="A192" s="1" t="s">
        <v>397</v>
      </c>
      <c r="B192" s="1" t="s">
        <v>398</v>
      </c>
      <c r="C192" s="11">
        <f>SUMIFS(Listings!$I$7:$I$306,Listings!$D$7:$D$306,$A192)</f>
        <v>1</v>
      </c>
      <c r="D192" s="11">
        <f>COUNTIFS(Listings!$D$7:$D$306,$A192,Listings!$F$7:$F$306,"Primary")</f>
        <v>1</v>
      </c>
      <c r="E192" s="11">
        <f>COUNTIFS(Listings!$D$7:$D$306,$A192,Listings!$F$7:$F$306,"&lt;&gt;Primary")</f>
        <v>0</v>
      </c>
      <c r="F192" s="11">
        <f t="shared" si="5"/>
        <v>1</v>
      </c>
    </row>
    <row r="193" spans="1:6" ht="22.95" customHeight="1">
      <c r="A193" s="1" t="s">
        <v>399</v>
      </c>
      <c r="B193" s="1" t="s">
        <v>400</v>
      </c>
      <c r="C193" s="11">
        <f>SUMIFS(Listings!$I$7:$I$306,Listings!$D$7:$D$306,$A193)</f>
        <v>1</v>
      </c>
      <c r="D193" s="11">
        <f>COUNTIFS(Listings!$D$7:$D$306,$A193,Listings!$F$7:$F$306,"Primary")</f>
        <v>0</v>
      </c>
      <c r="E193" s="11">
        <f>COUNTIFS(Listings!$D$7:$D$306,$A193,Listings!$F$7:$F$306,"&lt;&gt;Primary")</f>
        <v>1</v>
      </c>
      <c r="F193" s="11">
        <f t="shared" si="5"/>
        <v>1</v>
      </c>
    </row>
    <row r="194" spans="1:6" ht="22.95" customHeight="1">
      <c r="A194" s="1" t="s">
        <v>401</v>
      </c>
      <c r="B194" s="1" t="s">
        <v>402</v>
      </c>
      <c r="C194" s="11">
        <f>SUMIFS(Listings!$I$7:$I$306,Listings!$D$7:$D$306,$A194)</f>
        <v>1</v>
      </c>
      <c r="D194" s="11">
        <f>COUNTIFS(Listings!$D$7:$D$306,$A194,Listings!$F$7:$F$306,"Primary")</f>
        <v>1</v>
      </c>
      <c r="E194" s="11">
        <f>COUNTIFS(Listings!$D$7:$D$306,$A194,Listings!$F$7:$F$306,"&lt;&gt;Primary")</f>
        <v>0</v>
      </c>
      <c r="F194" s="11">
        <f t="shared" si="5"/>
        <v>1</v>
      </c>
    </row>
    <row r="195" spans="1:6" ht="22.95" customHeight="1">
      <c r="A195" s="1" t="s">
        <v>403</v>
      </c>
      <c r="B195" s="1" t="s">
        <v>404</v>
      </c>
      <c r="C195" s="11">
        <f>SUMIFS(Listings!$I$7:$I$306,Listings!$D$7:$D$306,$A195)</f>
        <v>1</v>
      </c>
      <c r="D195" s="11">
        <f>COUNTIFS(Listings!$D$7:$D$306,$A195,Listings!$F$7:$F$306,"Primary")</f>
        <v>1</v>
      </c>
      <c r="E195" s="11">
        <f>COUNTIFS(Listings!$D$7:$D$306,$A195,Listings!$F$7:$F$306,"&lt;&gt;Primary")</f>
        <v>0</v>
      </c>
      <c r="F195" s="11">
        <f t="shared" si="5"/>
        <v>1</v>
      </c>
    </row>
    <row r="196" spans="1:6" ht="22.95" customHeight="1">
      <c r="A196" s="1" t="s">
        <v>405</v>
      </c>
      <c r="B196" s="1" t="s">
        <v>406</v>
      </c>
      <c r="C196" s="11">
        <f>SUMIFS(Listings!$I$7:$I$306,Listings!$D$7:$D$306,$A196)</f>
        <v>1</v>
      </c>
      <c r="D196" s="11">
        <f>COUNTIFS(Listings!$D$7:$D$306,$A196,Listings!$F$7:$F$306,"Primary")</f>
        <v>0</v>
      </c>
      <c r="E196" s="11">
        <f>COUNTIFS(Listings!$D$7:$D$306,$A196,Listings!$F$7:$F$306,"&lt;&gt;Primary")</f>
        <v>1</v>
      </c>
      <c r="F196" s="11">
        <f t="shared" si="5"/>
        <v>1</v>
      </c>
    </row>
    <row r="197" spans="1:6" ht="22.95" customHeight="1">
      <c r="A197" s="1" t="s">
        <v>407</v>
      </c>
      <c r="B197" s="1" t="s">
        <v>408</v>
      </c>
      <c r="C197" s="11">
        <f>SUMIFS(Listings!$I$7:$I$306,Listings!$D$7:$D$306,$A197)</f>
        <v>1</v>
      </c>
      <c r="D197" s="11">
        <f>COUNTIFS(Listings!$D$7:$D$306,$A197,Listings!$F$7:$F$306,"Primary")</f>
        <v>1</v>
      </c>
      <c r="E197" s="11">
        <f>COUNTIFS(Listings!$D$7:$D$306,$A197,Listings!$F$7:$F$306,"&lt;&gt;Primary")</f>
        <v>0</v>
      </c>
      <c r="F197" s="11">
        <f t="shared" si="5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2" width="14" customWidth="1"/>
    <col min="3" max="3" width="26" customWidth="1"/>
    <col min="4" max="4" width="19" customWidth="1"/>
    <col min="5" max="6" width="26" customWidth="1"/>
    <col min="7" max="7" width="64" customWidth="1"/>
    <col min="8" max="8" width="28" customWidth="1"/>
    <col min="9" max="9" width="17" customWidth="1"/>
  </cols>
  <sheetData>
    <row r="1" spans="1:9" ht="22.9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2.95" customHeight="1">
      <c r="A2" s="2" t="s">
        <v>409</v>
      </c>
      <c r="B2" s="1"/>
      <c r="C2" s="1"/>
      <c r="D2" s="1"/>
      <c r="E2" s="1"/>
      <c r="F2" s="1"/>
      <c r="G2" s="1"/>
      <c r="H2" s="1"/>
      <c r="I2" s="1"/>
    </row>
    <row r="3" spans="1:9" ht="22.95" customHeight="1">
      <c r="A3" s="3"/>
      <c r="B3" s="3"/>
      <c r="C3" s="3"/>
      <c r="D3" s="3"/>
      <c r="E3" s="3"/>
      <c r="F3" s="3"/>
      <c r="G3" s="3"/>
      <c r="H3" s="3"/>
      <c r="I3" s="3"/>
    </row>
    <row r="4" spans="1:9" ht="22.95" customHeight="1">
      <c r="A4" s="4" t="s">
        <v>410</v>
      </c>
      <c r="B4" s="1"/>
      <c r="C4" s="1"/>
      <c r="D4" s="1"/>
      <c r="E4" s="1"/>
      <c r="F4" s="1"/>
      <c r="G4" s="1"/>
      <c r="H4" s="1"/>
      <c r="I4" s="1"/>
    </row>
    <row r="5" spans="1:9" ht="22.95" customHeight="1">
      <c r="A5" s="1"/>
      <c r="B5" s="1"/>
      <c r="C5" s="1"/>
      <c r="D5" s="1"/>
      <c r="E5" s="1"/>
      <c r="F5" s="1"/>
      <c r="G5" s="1"/>
      <c r="H5" s="1"/>
      <c r="I5" s="1"/>
    </row>
    <row r="6" spans="1:9" ht="34.049999999999997" customHeight="1">
      <c r="A6" s="6" t="s">
        <v>411</v>
      </c>
      <c r="B6" s="6" t="s">
        <v>412</v>
      </c>
      <c r="C6" s="6" t="s">
        <v>413</v>
      </c>
      <c r="D6" s="6" t="s">
        <v>21</v>
      </c>
      <c r="E6" s="6" t="s">
        <v>22</v>
      </c>
      <c r="F6" s="6" t="s">
        <v>414</v>
      </c>
      <c r="G6" s="6" t="s">
        <v>415</v>
      </c>
      <c r="H6" s="6" t="s">
        <v>416</v>
      </c>
      <c r="I6" s="6" t="s">
        <v>417</v>
      </c>
    </row>
    <row r="7" spans="1:9" ht="22.95" customHeight="1">
      <c r="A7" s="1" t="s">
        <v>418</v>
      </c>
      <c r="B7" s="1" t="s">
        <v>419</v>
      </c>
      <c r="C7" s="1" t="s">
        <v>420</v>
      </c>
      <c r="D7" s="1" t="s">
        <v>29</v>
      </c>
      <c r="E7" s="1" t="s">
        <v>30</v>
      </c>
      <c r="F7" s="1" t="s">
        <v>421</v>
      </c>
      <c r="G7" s="9" t="s">
        <v>422</v>
      </c>
      <c r="H7" s="1" t="s">
        <v>30</v>
      </c>
      <c r="I7" s="10">
        <f>IF(COUNTIFS($B$7:B7,B7,$D$7:D7,D7)=1,1,0)</f>
        <v>1</v>
      </c>
    </row>
    <row r="8" spans="1:9" ht="22.95" customHeight="1">
      <c r="A8" s="1" t="s">
        <v>423</v>
      </c>
      <c r="B8" s="1" t="s">
        <v>419</v>
      </c>
      <c r="C8" s="1" t="s">
        <v>420</v>
      </c>
      <c r="D8" s="1" t="s">
        <v>33</v>
      </c>
      <c r="E8" s="1" t="s">
        <v>34</v>
      </c>
      <c r="F8" s="1" t="s">
        <v>10</v>
      </c>
      <c r="G8" s="9" t="s">
        <v>424</v>
      </c>
      <c r="H8" s="1" t="s">
        <v>34</v>
      </c>
      <c r="I8" s="10">
        <f>IF(COUNTIFS($B$7:B8,B8,$D$7:D8,D8)=1,1,0)</f>
        <v>1</v>
      </c>
    </row>
    <row r="9" spans="1:9" ht="22.95" customHeight="1">
      <c r="A9" s="1" t="s">
        <v>425</v>
      </c>
      <c r="B9" s="1" t="s">
        <v>419</v>
      </c>
      <c r="C9" s="1" t="s">
        <v>420</v>
      </c>
      <c r="D9" s="1" t="s">
        <v>27</v>
      </c>
      <c r="E9" s="1" t="s">
        <v>28</v>
      </c>
      <c r="F9" s="1" t="s">
        <v>11</v>
      </c>
      <c r="G9" s="9" t="s">
        <v>426</v>
      </c>
      <c r="H9" s="1" t="s">
        <v>28</v>
      </c>
      <c r="I9" s="10">
        <f>IF(COUNTIFS($B$7:B9,B9,$D$7:D9,D9)=1,1,0)</f>
        <v>1</v>
      </c>
    </row>
    <row r="10" spans="1:9" ht="22.95" customHeight="1">
      <c r="A10" s="1" t="s">
        <v>427</v>
      </c>
      <c r="B10" s="1" t="s">
        <v>428</v>
      </c>
      <c r="C10" s="1" t="s">
        <v>429</v>
      </c>
      <c r="D10" s="1" t="s">
        <v>35</v>
      </c>
      <c r="E10" s="1" t="s">
        <v>36</v>
      </c>
      <c r="F10" s="1" t="s">
        <v>421</v>
      </c>
      <c r="G10" s="9" t="s">
        <v>430</v>
      </c>
      <c r="H10" s="1" t="s">
        <v>36</v>
      </c>
      <c r="I10" s="10">
        <f>IF(COUNTIFS($B$7:B10,B10,$D$7:D10,D10)=1,1,0)</f>
        <v>1</v>
      </c>
    </row>
    <row r="11" spans="1:9" ht="22.95" customHeight="1">
      <c r="A11" s="1" t="s">
        <v>431</v>
      </c>
      <c r="B11" s="1" t="s">
        <v>428</v>
      </c>
      <c r="C11" s="1" t="s">
        <v>429</v>
      </c>
      <c r="D11" s="1" t="s">
        <v>53</v>
      </c>
      <c r="E11" s="1" t="s">
        <v>54</v>
      </c>
      <c r="F11" s="1" t="s">
        <v>10</v>
      </c>
      <c r="G11" s="9" t="s">
        <v>432</v>
      </c>
      <c r="H11" s="1" t="s">
        <v>54</v>
      </c>
      <c r="I11" s="10">
        <f>IF(COUNTIFS($B$7:B11,B11,$D$7:D11,D11)=1,1,0)</f>
        <v>1</v>
      </c>
    </row>
    <row r="12" spans="1:9" ht="22.95" customHeight="1">
      <c r="A12" s="1" t="s">
        <v>433</v>
      </c>
      <c r="B12" s="1" t="s">
        <v>428</v>
      </c>
      <c r="C12" s="1" t="s">
        <v>429</v>
      </c>
      <c r="D12" s="1" t="s">
        <v>349</v>
      </c>
      <c r="E12" s="1" t="s">
        <v>350</v>
      </c>
      <c r="F12" s="1" t="s">
        <v>11</v>
      </c>
      <c r="G12" s="9" t="s">
        <v>434</v>
      </c>
      <c r="H12" s="1" t="s">
        <v>350</v>
      </c>
      <c r="I12" s="10">
        <f>IF(COUNTIFS($B$7:B12,B12,$D$7:D12,D12)=1,1,0)</f>
        <v>1</v>
      </c>
    </row>
    <row r="13" spans="1:9" ht="22.95" customHeight="1">
      <c r="A13" s="1" t="s">
        <v>435</v>
      </c>
      <c r="B13" s="1" t="s">
        <v>436</v>
      </c>
      <c r="C13" s="1" t="s">
        <v>437</v>
      </c>
      <c r="D13" s="1" t="s">
        <v>27</v>
      </c>
      <c r="E13" s="1" t="s">
        <v>28</v>
      </c>
      <c r="F13" s="1" t="s">
        <v>421</v>
      </c>
      <c r="G13" s="9" t="s">
        <v>426</v>
      </c>
      <c r="H13" s="1" t="s">
        <v>28</v>
      </c>
      <c r="I13" s="10">
        <f>IF(COUNTIFS($B$7:B13,B13,$D$7:D13,D13)=1,1,0)</f>
        <v>1</v>
      </c>
    </row>
    <row r="14" spans="1:9" ht="22.95" customHeight="1">
      <c r="A14" s="1" t="s">
        <v>438</v>
      </c>
      <c r="B14" s="1" t="s">
        <v>436</v>
      </c>
      <c r="C14" s="1" t="s">
        <v>437</v>
      </c>
      <c r="D14" s="1" t="s">
        <v>45</v>
      </c>
      <c r="E14" s="1" t="s">
        <v>46</v>
      </c>
      <c r="F14" s="1" t="s">
        <v>10</v>
      </c>
      <c r="G14" s="9" t="s">
        <v>439</v>
      </c>
      <c r="H14" s="1" t="s">
        <v>46</v>
      </c>
      <c r="I14" s="10">
        <f>IF(COUNTIFS($B$7:B14,B14,$D$7:D14,D14)=1,1,0)</f>
        <v>1</v>
      </c>
    </row>
    <row r="15" spans="1:9" ht="22.95" customHeight="1">
      <c r="A15" s="1" t="s">
        <v>440</v>
      </c>
      <c r="B15" s="1" t="s">
        <v>436</v>
      </c>
      <c r="C15" s="1" t="s">
        <v>437</v>
      </c>
      <c r="D15" s="1" t="s">
        <v>329</v>
      </c>
      <c r="E15" s="1" t="s">
        <v>330</v>
      </c>
      <c r="F15" s="1" t="s">
        <v>11</v>
      </c>
      <c r="G15" s="9" t="s">
        <v>441</v>
      </c>
      <c r="H15" s="1" t="s">
        <v>330</v>
      </c>
      <c r="I15" s="10">
        <f>IF(COUNTIFS($B$7:B15,B15,$D$7:D15,D15)=1,1,0)</f>
        <v>1</v>
      </c>
    </row>
    <row r="16" spans="1:9" ht="22.95" customHeight="1">
      <c r="A16" s="1" t="s">
        <v>442</v>
      </c>
      <c r="B16" s="1" t="s">
        <v>443</v>
      </c>
      <c r="C16" s="1" t="s">
        <v>444</v>
      </c>
      <c r="D16" s="1" t="s">
        <v>277</v>
      </c>
      <c r="E16" s="1" t="s">
        <v>278</v>
      </c>
      <c r="F16" s="1" t="s">
        <v>421</v>
      </c>
      <c r="G16" s="9" t="s">
        <v>445</v>
      </c>
      <c r="H16" s="1" t="s">
        <v>278</v>
      </c>
      <c r="I16" s="10">
        <f>IF(COUNTIFS($B$7:B16,B16,$D$7:D16,D16)=1,1,0)</f>
        <v>1</v>
      </c>
    </row>
    <row r="17" spans="1:9" ht="22.95" customHeight="1">
      <c r="A17" s="1" t="s">
        <v>446</v>
      </c>
      <c r="B17" s="1" t="s">
        <v>443</v>
      </c>
      <c r="C17" s="1" t="s">
        <v>444</v>
      </c>
      <c r="D17" s="1" t="s">
        <v>65</v>
      </c>
      <c r="E17" s="1" t="s">
        <v>66</v>
      </c>
      <c r="F17" s="1" t="s">
        <v>10</v>
      </c>
      <c r="G17" s="9" t="s">
        <v>447</v>
      </c>
      <c r="H17" s="1" t="s">
        <v>66</v>
      </c>
      <c r="I17" s="10">
        <f>IF(COUNTIFS($B$7:B17,B17,$D$7:D17,D17)=1,1,0)</f>
        <v>1</v>
      </c>
    </row>
    <row r="18" spans="1:9" ht="22.95" customHeight="1">
      <c r="A18" s="1" t="s">
        <v>448</v>
      </c>
      <c r="B18" s="1" t="s">
        <v>443</v>
      </c>
      <c r="C18" s="1" t="s">
        <v>444</v>
      </c>
      <c r="D18" s="1" t="s">
        <v>305</v>
      </c>
      <c r="E18" s="1" t="s">
        <v>306</v>
      </c>
      <c r="F18" s="1" t="s">
        <v>11</v>
      </c>
      <c r="G18" s="9" t="s">
        <v>449</v>
      </c>
      <c r="H18" s="1" t="s">
        <v>306</v>
      </c>
      <c r="I18" s="10">
        <f>IF(COUNTIFS($B$7:B18,B18,$D$7:D18,D18)=1,1,0)</f>
        <v>1</v>
      </c>
    </row>
    <row r="19" spans="1:9" ht="22.95" customHeight="1">
      <c r="A19" s="1" t="s">
        <v>450</v>
      </c>
      <c r="B19" s="1" t="s">
        <v>451</v>
      </c>
      <c r="C19" s="1" t="s">
        <v>8</v>
      </c>
      <c r="D19" s="1" t="s">
        <v>293</v>
      </c>
      <c r="E19" s="1" t="s">
        <v>294</v>
      </c>
      <c r="F19" s="1" t="s">
        <v>421</v>
      </c>
      <c r="G19" s="9" t="s">
        <v>452</v>
      </c>
      <c r="H19" s="1" t="s">
        <v>294</v>
      </c>
      <c r="I19" s="10">
        <f>IF(COUNTIFS($B$7:B19,B19,$D$7:D19,D19)=1,1,0)</f>
        <v>1</v>
      </c>
    </row>
    <row r="20" spans="1:9" ht="22.95" customHeight="1">
      <c r="A20" s="1" t="s">
        <v>453</v>
      </c>
      <c r="B20" s="1" t="s">
        <v>451</v>
      </c>
      <c r="C20" s="1" t="s">
        <v>8</v>
      </c>
      <c r="D20" s="1" t="s">
        <v>33</v>
      </c>
      <c r="E20" s="1" t="s">
        <v>34</v>
      </c>
      <c r="F20" s="1" t="s">
        <v>10</v>
      </c>
      <c r="G20" s="9" t="s">
        <v>424</v>
      </c>
      <c r="H20" s="1" t="s">
        <v>34</v>
      </c>
      <c r="I20" s="10">
        <f>IF(COUNTIFS($B$7:B20,B20,$D$7:D20,D20)=1,1,0)</f>
        <v>1</v>
      </c>
    </row>
    <row r="21" spans="1:9" ht="22.95" customHeight="1">
      <c r="A21" s="1" t="s">
        <v>454</v>
      </c>
      <c r="B21" s="1" t="s">
        <v>451</v>
      </c>
      <c r="C21" s="1" t="s">
        <v>8</v>
      </c>
      <c r="D21" s="1" t="s">
        <v>289</v>
      </c>
      <c r="E21" s="1" t="s">
        <v>290</v>
      </c>
      <c r="F21" s="1" t="s">
        <v>11</v>
      </c>
      <c r="G21" s="9" t="s">
        <v>455</v>
      </c>
      <c r="H21" s="1" t="s">
        <v>290</v>
      </c>
      <c r="I21" s="10">
        <f>IF(COUNTIFS($B$7:B21,B21,$D$7:D21,D21)=1,1,0)</f>
        <v>1</v>
      </c>
    </row>
    <row r="22" spans="1:9" ht="22.95" customHeight="1">
      <c r="A22" s="1" t="s">
        <v>456</v>
      </c>
      <c r="B22" s="1" t="s">
        <v>457</v>
      </c>
      <c r="C22" s="1" t="s">
        <v>458</v>
      </c>
      <c r="D22" s="1" t="s">
        <v>27</v>
      </c>
      <c r="E22" s="1" t="s">
        <v>28</v>
      </c>
      <c r="F22" s="1" t="s">
        <v>421</v>
      </c>
      <c r="G22" s="9" t="s">
        <v>426</v>
      </c>
      <c r="H22" s="1" t="s">
        <v>28</v>
      </c>
      <c r="I22" s="10">
        <f>IF(COUNTIFS($B$7:B22,B22,$D$7:D22,D22)=1,1,0)</f>
        <v>1</v>
      </c>
    </row>
    <row r="23" spans="1:9" ht="22.95" customHeight="1">
      <c r="A23" s="1" t="s">
        <v>459</v>
      </c>
      <c r="B23" s="1" t="s">
        <v>457</v>
      </c>
      <c r="C23" s="1" t="s">
        <v>458</v>
      </c>
      <c r="D23" s="1" t="s">
        <v>29</v>
      </c>
      <c r="E23" s="1" t="s">
        <v>30</v>
      </c>
      <c r="F23" s="1" t="s">
        <v>10</v>
      </c>
      <c r="G23" s="9" t="s">
        <v>422</v>
      </c>
      <c r="H23" s="1" t="s">
        <v>30</v>
      </c>
      <c r="I23" s="10">
        <f>IF(COUNTIFS($B$7:B23,B23,$D$7:D23,D23)=1,1,0)</f>
        <v>1</v>
      </c>
    </row>
    <row r="24" spans="1:9" ht="22.95" customHeight="1">
      <c r="A24" s="1" t="s">
        <v>460</v>
      </c>
      <c r="B24" s="1" t="s">
        <v>457</v>
      </c>
      <c r="C24" s="1" t="s">
        <v>458</v>
      </c>
      <c r="D24" s="1" t="s">
        <v>31</v>
      </c>
      <c r="E24" s="1" t="s">
        <v>32</v>
      </c>
      <c r="F24" s="1" t="s">
        <v>11</v>
      </c>
      <c r="G24" s="9" t="s">
        <v>461</v>
      </c>
      <c r="H24" s="1" t="s">
        <v>32</v>
      </c>
      <c r="I24" s="10">
        <f>IF(COUNTIFS($B$7:B24,B24,$D$7:D24,D24)=1,1,0)</f>
        <v>1</v>
      </c>
    </row>
    <row r="25" spans="1:9" ht="22.95" customHeight="1">
      <c r="A25" s="1" t="s">
        <v>462</v>
      </c>
      <c r="B25" s="1" t="s">
        <v>463</v>
      </c>
      <c r="C25" s="1" t="s">
        <v>464</v>
      </c>
      <c r="D25" s="1" t="s">
        <v>281</v>
      </c>
      <c r="E25" s="1" t="s">
        <v>282</v>
      </c>
      <c r="F25" s="1" t="s">
        <v>421</v>
      </c>
      <c r="G25" s="9" t="s">
        <v>465</v>
      </c>
      <c r="H25" s="1" t="s">
        <v>282</v>
      </c>
      <c r="I25" s="10">
        <f>IF(COUNTIFS($B$7:B25,B25,$D$7:D25,D25)=1,1,0)</f>
        <v>1</v>
      </c>
    </row>
    <row r="26" spans="1:9" ht="22.95" customHeight="1">
      <c r="A26" s="1" t="s">
        <v>466</v>
      </c>
      <c r="B26" s="1" t="s">
        <v>463</v>
      </c>
      <c r="C26" s="1" t="s">
        <v>464</v>
      </c>
      <c r="D26" s="1" t="s">
        <v>211</v>
      </c>
      <c r="E26" s="1" t="s">
        <v>212</v>
      </c>
      <c r="F26" s="1" t="s">
        <v>10</v>
      </c>
      <c r="G26" s="9" t="s">
        <v>467</v>
      </c>
      <c r="H26" s="1" t="s">
        <v>212</v>
      </c>
      <c r="I26" s="10">
        <f>IF(COUNTIFS($B$7:B26,B26,$D$7:D26,D26)=1,1,0)</f>
        <v>1</v>
      </c>
    </row>
    <row r="27" spans="1:9" ht="22.95" customHeight="1">
      <c r="A27" s="1" t="s">
        <v>468</v>
      </c>
      <c r="B27" s="1" t="s">
        <v>463</v>
      </c>
      <c r="C27" s="1" t="s">
        <v>464</v>
      </c>
      <c r="D27" s="1" t="s">
        <v>33</v>
      </c>
      <c r="E27" s="1" t="s">
        <v>34</v>
      </c>
      <c r="F27" s="1" t="s">
        <v>11</v>
      </c>
      <c r="G27" s="9" t="s">
        <v>424</v>
      </c>
      <c r="H27" s="1" t="s">
        <v>34</v>
      </c>
      <c r="I27" s="10">
        <f>IF(COUNTIFS($B$7:B27,B27,$D$7:D27,D27)=1,1,0)</f>
        <v>1</v>
      </c>
    </row>
    <row r="28" spans="1:9" ht="22.95" customHeight="1">
      <c r="A28" s="1" t="s">
        <v>469</v>
      </c>
      <c r="B28" s="1" t="s">
        <v>470</v>
      </c>
      <c r="C28" s="1" t="s">
        <v>471</v>
      </c>
      <c r="D28" s="1" t="s">
        <v>319</v>
      </c>
      <c r="E28" s="1" t="s">
        <v>320</v>
      </c>
      <c r="F28" s="1" t="s">
        <v>421</v>
      </c>
      <c r="G28" s="9" t="s">
        <v>472</v>
      </c>
      <c r="H28" s="1" t="s">
        <v>320</v>
      </c>
      <c r="I28" s="10">
        <f>IF(COUNTIFS($B$7:B28,B28,$D$7:D28,D28)=1,1,0)</f>
        <v>1</v>
      </c>
    </row>
    <row r="29" spans="1:9" ht="22.95" customHeight="1">
      <c r="A29" s="1" t="s">
        <v>473</v>
      </c>
      <c r="B29" s="1" t="s">
        <v>470</v>
      </c>
      <c r="C29" s="1" t="s">
        <v>471</v>
      </c>
      <c r="D29" s="1" t="s">
        <v>243</v>
      </c>
      <c r="E29" s="1" t="s">
        <v>244</v>
      </c>
      <c r="F29" s="1" t="s">
        <v>10</v>
      </c>
      <c r="G29" s="9" t="s">
        <v>474</v>
      </c>
      <c r="H29" s="1" t="s">
        <v>244</v>
      </c>
      <c r="I29" s="10">
        <f>IF(COUNTIFS($B$7:B29,B29,$D$7:D29,D29)=1,1,0)</f>
        <v>1</v>
      </c>
    </row>
    <row r="30" spans="1:9" ht="22.95" customHeight="1">
      <c r="A30" s="1" t="s">
        <v>475</v>
      </c>
      <c r="B30" s="1" t="s">
        <v>470</v>
      </c>
      <c r="C30" s="1" t="s">
        <v>471</v>
      </c>
      <c r="D30" s="1" t="s">
        <v>27</v>
      </c>
      <c r="E30" s="1" t="s">
        <v>28</v>
      </c>
      <c r="F30" s="1" t="s">
        <v>11</v>
      </c>
      <c r="G30" s="9" t="s">
        <v>426</v>
      </c>
      <c r="H30" s="1" t="s">
        <v>28</v>
      </c>
      <c r="I30" s="10">
        <f>IF(COUNTIFS($B$7:B30,B30,$D$7:D30,D30)=1,1,0)</f>
        <v>1</v>
      </c>
    </row>
    <row r="31" spans="1:9" ht="22.95" customHeight="1">
      <c r="A31" s="1" t="s">
        <v>476</v>
      </c>
      <c r="B31" s="1" t="s">
        <v>477</v>
      </c>
      <c r="C31" s="1" t="s">
        <v>478</v>
      </c>
      <c r="D31" s="1" t="s">
        <v>189</v>
      </c>
      <c r="E31" s="1" t="s">
        <v>190</v>
      </c>
      <c r="F31" s="1" t="s">
        <v>421</v>
      </c>
      <c r="G31" s="9" t="s">
        <v>479</v>
      </c>
      <c r="H31" s="1" t="s">
        <v>190</v>
      </c>
      <c r="I31" s="10">
        <f>IF(COUNTIFS($B$7:B31,B31,$D$7:D31,D31)=1,1,0)</f>
        <v>1</v>
      </c>
    </row>
    <row r="32" spans="1:9" ht="22.95" customHeight="1">
      <c r="A32" s="1" t="s">
        <v>480</v>
      </c>
      <c r="B32" s="1" t="s">
        <v>477</v>
      </c>
      <c r="C32" s="1" t="s">
        <v>478</v>
      </c>
      <c r="D32" s="1" t="s">
        <v>29</v>
      </c>
      <c r="E32" s="1" t="s">
        <v>30</v>
      </c>
      <c r="F32" s="1" t="s">
        <v>10</v>
      </c>
      <c r="G32" s="9" t="s">
        <v>422</v>
      </c>
      <c r="H32" s="1" t="s">
        <v>30</v>
      </c>
      <c r="I32" s="10">
        <f>IF(COUNTIFS($B$7:B32,B32,$D$7:D32,D32)=1,1,0)</f>
        <v>1</v>
      </c>
    </row>
    <row r="33" spans="1:9" ht="22.95" customHeight="1">
      <c r="A33" s="1" t="s">
        <v>481</v>
      </c>
      <c r="B33" s="1" t="s">
        <v>477</v>
      </c>
      <c r="C33" s="1" t="s">
        <v>478</v>
      </c>
      <c r="D33" s="1" t="s">
        <v>33</v>
      </c>
      <c r="E33" s="1" t="s">
        <v>34</v>
      </c>
      <c r="F33" s="1" t="s">
        <v>11</v>
      </c>
      <c r="G33" s="9" t="s">
        <v>424</v>
      </c>
      <c r="H33" s="1" t="s">
        <v>34</v>
      </c>
      <c r="I33" s="10">
        <f>IF(COUNTIFS($B$7:B33,B33,$D$7:D33,D33)=1,1,0)</f>
        <v>1</v>
      </c>
    </row>
    <row r="34" spans="1:9" ht="22.95" customHeight="1">
      <c r="A34" s="1" t="s">
        <v>482</v>
      </c>
      <c r="B34" s="1" t="s">
        <v>483</v>
      </c>
      <c r="C34" s="1" t="s">
        <v>484</v>
      </c>
      <c r="D34" s="1" t="s">
        <v>263</v>
      </c>
      <c r="E34" s="1" t="s">
        <v>264</v>
      </c>
      <c r="F34" s="1" t="s">
        <v>421</v>
      </c>
      <c r="G34" s="9" t="s">
        <v>485</v>
      </c>
      <c r="H34" s="1" t="s">
        <v>264</v>
      </c>
      <c r="I34" s="10">
        <f>IF(COUNTIFS($B$7:B34,B34,$D$7:D34,D34)=1,1,0)</f>
        <v>1</v>
      </c>
    </row>
    <row r="35" spans="1:9" ht="22.95" customHeight="1">
      <c r="A35" s="1" t="s">
        <v>486</v>
      </c>
      <c r="B35" s="1" t="s">
        <v>483</v>
      </c>
      <c r="C35" s="1" t="s">
        <v>484</v>
      </c>
      <c r="D35" s="1" t="s">
        <v>47</v>
      </c>
      <c r="E35" s="1" t="s">
        <v>48</v>
      </c>
      <c r="F35" s="1" t="s">
        <v>10</v>
      </c>
      <c r="G35" s="9" t="s">
        <v>487</v>
      </c>
      <c r="H35" s="1" t="s">
        <v>48</v>
      </c>
      <c r="I35" s="10">
        <f>IF(COUNTIFS($B$7:B35,B35,$D$7:D35,D35)=1,1,0)</f>
        <v>1</v>
      </c>
    </row>
    <row r="36" spans="1:9" ht="22.95" customHeight="1">
      <c r="A36" s="1" t="s">
        <v>488</v>
      </c>
      <c r="B36" s="1" t="s">
        <v>483</v>
      </c>
      <c r="C36" s="1" t="s">
        <v>484</v>
      </c>
      <c r="D36" s="1" t="s">
        <v>27</v>
      </c>
      <c r="E36" s="1" t="s">
        <v>28</v>
      </c>
      <c r="F36" s="1" t="s">
        <v>11</v>
      </c>
      <c r="G36" s="9" t="s">
        <v>426</v>
      </c>
      <c r="H36" s="1" t="s">
        <v>28</v>
      </c>
      <c r="I36" s="10">
        <f>IF(COUNTIFS($B$7:B36,B36,$D$7:D36,D36)=1,1,0)</f>
        <v>1</v>
      </c>
    </row>
    <row r="37" spans="1:9" ht="22.95" customHeight="1">
      <c r="A37" s="1" t="s">
        <v>489</v>
      </c>
      <c r="B37" s="1" t="s">
        <v>490</v>
      </c>
      <c r="C37" s="1" t="s">
        <v>491</v>
      </c>
      <c r="D37" s="1" t="s">
        <v>79</v>
      </c>
      <c r="E37" s="1" t="s">
        <v>80</v>
      </c>
      <c r="F37" s="1" t="s">
        <v>421</v>
      </c>
      <c r="G37" s="9" t="s">
        <v>492</v>
      </c>
      <c r="H37" s="1" t="s">
        <v>80</v>
      </c>
      <c r="I37" s="10">
        <f>IF(COUNTIFS($B$7:B37,B37,$D$7:D37,D37)=1,1,0)</f>
        <v>1</v>
      </c>
    </row>
    <row r="38" spans="1:9" ht="22.95" customHeight="1">
      <c r="A38" s="1" t="s">
        <v>493</v>
      </c>
      <c r="B38" s="1" t="s">
        <v>490</v>
      </c>
      <c r="C38" s="1" t="s">
        <v>491</v>
      </c>
      <c r="D38" s="1" t="s">
        <v>301</v>
      </c>
      <c r="E38" s="1" t="s">
        <v>302</v>
      </c>
      <c r="F38" s="1" t="s">
        <v>10</v>
      </c>
      <c r="G38" s="9" t="s">
        <v>494</v>
      </c>
      <c r="H38" s="1" t="s">
        <v>302</v>
      </c>
      <c r="I38" s="10">
        <f>IF(COUNTIFS($B$7:B38,B38,$D$7:D38,D38)=1,1,0)</f>
        <v>1</v>
      </c>
    </row>
    <row r="39" spans="1:9" ht="22.95" customHeight="1">
      <c r="A39" s="1" t="s">
        <v>495</v>
      </c>
      <c r="B39" s="1" t="s">
        <v>490</v>
      </c>
      <c r="C39" s="1" t="s">
        <v>491</v>
      </c>
      <c r="D39" s="1" t="s">
        <v>373</v>
      </c>
      <c r="E39" s="1" t="s">
        <v>374</v>
      </c>
      <c r="F39" s="1" t="s">
        <v>11</v>
      </c>
      <c r="G39" s="9" t="s">
        <v>496</v>
      </c>
      <c r="H39" s="1" t="s">
        <v>374</v>
      </c>
      <c r="I39" s="10">
        <f>IF(COUNTIFS($B$7:B39,B39,$D$7:D39,D39)=1,1,0)</f>
        <v>1</v>
      </c>
    </row>
    <row r="40" spans="1:9" ht="22.95" customHeight="1">
      <c r="A40" s="1" t="s">
        <v>497</v>
      </c>
      <c r="B40" s="1" t="s">
        <v>498</v>
      </c>
      <c r="C40" s="1" t="s">
        <v>499</v>
      </c>
      <c r="D40" s="1" t="s">
        <v>201</v>
      </c>
      <c r="E40" s="1" t="s">
        <v>202</v>
      </c>
      <c r="F40" s="1" t="s">
        <v>421</v>
      </c>
      <c r="G40" s="9" t="s">
        <v>500</v>
      </c>
      <c r="H40" s="1" t="s">
        <v>202</v>
      </c>
      <c r="I40" s="10">
        <f>IF(COUNTIFS($B$7:B40,B40,$D$7:D40,D40)=1,1,0)</f>
        <v>1</v>
      </c>
    </row>
    <row r="41" spans="1:9" ht="22.95" customHeight="1">
      <c r="A41" s="1" t="s">
        <v>501</v>
      </c>
      <c r="B41" s="1" t="s">
        <v>498</v>
      </c>
      <c r="C41" s="1" t="s">
        <v>499</v>
      </c>
      <c r="D41" s="1" t="s">
        <v>49</v>
      </c>
      <c r="E41" s="1" t="s">
        <v>50</v>
      </c>
      <c r="F41" s="1" t="s">
        <v>10</v>
      </c>
      <c r="G41" s="9" t="s">
        <v>502</v>
      </c>
      <c r="H41" s="1" t="s">
        <v>50</v>
      </c>
      <c r="I41" s="10">
        <f>IF(COUNTIFS($B$7:B41,B41,$D$7:D41,D41)=1,1,0)</f>
        <v>1</v>
      </c>
    </row>
    <row r="42" spans="1:9" ht="22.95" customHeight="1">
      <c r="A42" s="1" t="s">
        <v>503</v>
      </c>
      <c r="B42" s="1" t="s">
        <v>498</v>
      </c>
      <c r="C42" s="1" t="s">
        <v>499</v>
      </c>
      <c r="D42" s="1" t="s">
        <v>239</v>
      </c>
      <c r="E42" s="1" t="s">
        <v>240</v>
      </c>
      <c r="F42" s="1" t="s">
        <v>11</v>
      </c>
      <c r="G42" s="9" t="s">
        <v>504</v>
      </c>
      <c r="H42" s="1" t="s">
        <v>240</v>
      </c>
      <c r="I42" s="10">
        <f>IF(COUNTIFS($B$7:B42,B42,$D$7:D42,D42)=1,1,0)</f>
        <v>1</v>
      </c>
    </row>
    <row r="43" spans="1:9" ht="22.95" customHeight="1">
      <c r="A43" s="1" t="s">
        <v>505</v>
      </c>
      <c r="B43" s="1" t="s">
        <v>506</v>
      </c>
      <c r="C43" s="1" t="s">
        <v>507</v>
      </c>
      <c r="D43" s="1" t="s">
        <v>55</v>
      </c>
      <c r="E43" s="1" t="s">
        <v>56</v>
      </c>
      <c r="F43" s="1" t="s">
        <v>421</v>
      </c>
      <c r="G43" s="9" t="s">
        <v>508</v>
      </c>
      <c r="H43" s="1" t="s">
        <v>56</v>
      </c>
      <c r="I43" s="10">
        <f>IF(COUNTIFS($B$7:B43,B43,$D$7:D43,D43)=1,1,0)</f>
        <v>1</v>
      </c>
    </row>
    <row r="44" spans="1:9" ht="22.95" customHeight="1">
      <c r="A44" s="1" t="s">
        <v>509</v>
      </c>
      <c r="B44" s="1" t="s">
        <v>506</v>
      </c>
      <c r="C44" s="1" t="s">
        <v>507</v>
      </c>
      <c r="D44" s="1" t="s">
        <v>391</v>
      </c>
      <c r="E44" s="1" t="s">
        <v>392</v>
      </c>
      <c r="F44" s="1" t="s">
        <v>10</v>
      </c>
      <c r="G44" s="9" t="s">
        <v>510</v>
      </c>
      <c r="H44" s="1" t="s">
        <v>392</v>
      </c>
      <c r="I44" s="10">
        <f>IF(COUNTIFS($B$7:B44,B44,$D$7:D44,D44)=1,1,0)</f>
        <v>1</v>
      </c>
    </row>
    <row r="45" spans="1:9" ht="22.95" customHeight="1">
      <c r="A45" s="1" t="s">
        <v>511</v>
      </c>
      <c r="B45" s="1" t="s">
        <v>506</v>
      </c>
      <c r="C45" s="1" t="s">
        <v>507</v>
      </c>
      <c r="D45" s="1" t="s">
        <v>27</v>
      </c>
      <c r="E45" s="1" t="s">
        <v>28</v>
      </c>
      <c r="F45" s="1" t="s">
        <v>11</v>
      </c>
      <c r="G45" s="9" t="s">
        <v>426</v>
      </c>
      <c r="H45" s="1" t="s">
        <v>28</v>
      </c>
      <c r="I45" s="10">
        <f>IF(COUNTIFS($B$7:B45,B45,$D$7:D45,D45)=1,1,0)</f>
        <v>1</v>
      </c>
    </row>
    <row r="46" spans="1:9" ht="22.95" customHeight="1">
      <c r="A46" s="1" t="s">
        <v>512</v>
      </c>
      <c r="B46" s="1" t="s">
        <v>513</v>
      </c>
      <c r="C46" s="1" t="s">
        <v>514</v>
      </c>
      <c r="D46" s="1" t="s">
        <v>139</v>
      </c>
      <c r="E46" s="1" t="s">
        <v>140</v>
      </c>
      <c r="F46" s="1" t="s">
        <v>421</v>
      </c>
      <c r="G46" s="9" t="s">
        <v>515</v>
      </c>
      <c r="H46" s="1" t="s">
        <v>140</v>
      </c>
      <c r="I46" s="10">
        <f>IF(COUNTIFS($B$7:B46,B46,$D$7:D46,D46)=1,1,0)</f>
        <v>1</v>
      </c>
    </row>
    <row r="47" spans="1:9" ht="22.95" customHeight="1">
      <c r="A47" s="1" t="s">
        <v>516</v>
      </c>
      <c r="B47" s="1" t="s">
        <v>513</v>
      </c>
      <c r="C47" s="1" t="s">
        <v>514</v>
      </c>
      <c r="D47" s="1" t="s">
        <v>27</v>
      </c>
      <c r="E47" s="1" t="s">
        <v>28</v>
      </c>
      <c r="F47" s="1" t="s">
        <v>10</v>
      </c>
      <c r="G47" s="9" t="s">
        <v>426</v>
      </c>
      <c r="H47" s="1" t="s">
        <v>28</v>
      </c>
      <c r="I47" s="10">
        <f>IF(COUNTIFS($B$7:B47,B47,$D$7:D47,D47)=1,1,0)</f>
        <v>1</v>
      </c>
    </row>
    <row r="48" spans="1:9" ht="22.95" customHeight="1">
      <c r="A48" s="1" t="s">
        <v>517</v>
      </c>
      <c r="B48" s="1" t="s">
        <v>513</v>
      </c>
      <c r="C48" s="1" t="s">
        <v>514</v>
      </c>
      <c r="D48" s="1" t="s">
        <v>29</v>
      </c>
      <c r="E48" s="1" t="s">
        <v>30</v>
      </c>
      <c r="F48" s="1" t="s">
        <v>11</v>
      </c>
      <c r="G48" s="9" t="s">
        <v>518</v>
      </c>
      <c r="H48" s="1" t="s">
        <v>30</v>
      </c>
      <c r="I48" s="10">
        <f>IF(COUNTIFS($B$7:B48,B48,$D$7:D48,D48)=1,1,0)</f>
        <v>1</v>
      </c>
    </row>
    <row r="49" spans="1:9" ht="22.95" customHeight="1">
      <c r="A49" s="1" t="s">
        <v>519</v>
      </c>
      <c r="B49" s="1" t="s">
        <v>520</v>
      </c>
      <c r="C49" s="1" t="s">
        <v>521</v>
      </c>
      <c r="D49" s="1" t="s">
        <v>49</v>
      </c>
      <c r="E49" s="1" t="s">
        <v>50</v>
      </c>
      <c r="F49" s="1" t="s">
        <v>421</v>
      </c>
      <c r="G49" s="9" t="s">
        <v>502</v>
      </c>
      <c r="H49" s="1" t="s">
        <v>50</v>
      </c>
      <c r="I49" s="10">
        <f>IF(COUNTIFS($B$7:B49,B49,$D$7:D49,D49)=1,1,0)</f>
        <v>1</v>
      </c>
    </row>
    <row r="50" spans="1:9" ht="22.95" customHeight="1">
      <c r="A50" s="1" t="s">
        <v>522</v>
      </c>
      <c r="B50" s="1" t="s">
        <v>520</v>
      </c>
      <c r="C50" s="1" t="s">
        <v>521</v>
      </c>
      <c r="D50" s="1" t="s">
        <v>47</v>
      </c>
      <c r="E50" s="1" t="s">
        <v>48</v>
      </c>
      <c r="F50" s="1" t="s">
        <v>10</v>
      </c>
      <c r="G50" s="9" t="s">
        <v>487</v>
      </c>
      <c r="H50" s="1" t="s">
        <v>48</v>
      </c>
      <c r="I50" s="10">
        <f>IF(COUNTIFS($B$7:B50,B50,$D$7:D50,D50)=1,1,0)</f>
        <v>1</v>
      </c>
    </row>
    <row r="51" spans="1:9" ht="22.95" customHeight="1">
      <c r="A51" s="1" t="s">
        <v>523</v>
      </c>
      <c r="B51" s="1" t="s">
        <v>520</v>
      </c>
      <c r="C51" s="1" t="s">
        <v>521</v>
      </c>
      <c r="D51" s="1" t="s">
        <v>27</v>
      </c>
      <c r="E51" s="1" t="s">
        <v>28</v>
      </c>
      <c r="F51" s="1" t="s">
        <v>11</v>
      </c>
      <c r="G51" s="9" t="s">
        <v>426</v>
      </c>
      <c r="H51" s="1" t="s">
        <v>28</v>
      </c>
      <c r="I51" s="10">
        <f>IF(COUNTIFS($B$7:B51,B51,$D$7:D51,D51)=1,1,0)</f>
        <v>1</v>
      </c>
    </row>
    <row r="52" spans="1:9" ht="22.95" customHeight="1">
      <c r="A52" s="1" t="s">
        <v>524</v>
      </c>
      <c r="B52" s="1" t="s">
        <v>525</v>
      </c>
      <c r="C52" s="1" t="s">
        <v>526</v>
      </c>
      <c r="D52" s="1" t="s">
        <v>249</v>
      </c>
      <c r="E52" s="1" t="s">
        <v>250</v>
      </c>
      <c r="F52" s="1" t="s">
        <v>421</v>
      </c>
      <c r="G52" s="9" t="s">
        <v>527</v>
      </c>
      <c r="H52" s="1" t="s">
        <v>250</v>
      </c>
      <c r="I52" s="10">
        <f>IF(COUNTIFS($B$7:B52,B52,$D$7:D52,D52)=1,1,0)</f>
        <v>1</v>
      </c>
    </row>
    <row r="53" spans="1:9" ht="22.95" customHeight="1">
      <c r="A53" s="1" t="s">
        <v>528</v>
      </c>
      <c r="B53" s="1" t="s">
        <v>525</v>
      </c>
      <c r="C53" s="1" t="s">
        <v>526</v>
      </c>
      <c r="D53" s="1" t="s">
        <v>59</v>
      </c>
      <c r="E53" s="1" t="s">
        <v>60</v>
      </c>
      <c r="F53" s="1" t="s">
        <v>10</v>
      </c>
      <c r="G53" s="9" t="s">
        <v>529</v>
      </c>
      <c r="H53" s="1" t="s">
        <v>60</v>
      </c>
      <c r="I53" s="10">
        <f>IF(COUNTIFS($B$7:B53,B53,$D$7:D53,D53)=1,1,0)</f>
        <v>1</v>
      </c>
    </row>
    <row r="54" spans="1:9" ht="22.95" customHeight="1">
      <c r="A54" s="1" t="s">
        <v>530</v>
      </c>
      <c r="B54" s="1" t="s">
        <v>525</v>
      </c>
      <c r="C54" s="1" t="s">
        <v>526</v>
      </c>
      <c r="D54" s="1" t="s">
        <v>155</v>
      </c>
      <c r="E54" s="1" t="s">
        <v>156</v>
      </c>
      <c r="F54" s="1" t="s">
        <v>11</v>
      </c>
      <c r="G54" s="9" t="s">
        <v>531</v>
      </c>
      <c r="H54" s="1" t="s">
        <v>156</v>
      </c>
      <c r="I54" s="10">
        <f>IF(COUNTIFS($B$7:B54,B54,$D$7:D54,D54)=1,1,0)</f>
        <v>1</v>
      </c>
    </row>
    <row r="55" spans="1:9" ht="22.95" customHeight="1">
      <c r="A55" s="1" t="s">
        <v>532</v>
      </c>
      <c r="B55" s="1" t="s">
        <v>533</v>
      </c>
      <c r="C55" s="1" t="s">
        <v>534</v>
      </c>
      <c r="D55" s="1" t="s">
        <v>111</v>
      </c>
      <c r="E55" s="1" t="s">
        <v>112</v>
      </c>
      <c r="F55" s="1" t="s">
        <v>421</v>
      </c>
      <c r="G55" s="9" t="s">
        <v>535</v>
      </c>
      <c r="H55" s="1" t="s">
        <v>112</v>
      </c>
      <c r="I55" s="10">
        <f>IF(COUNTIFS($B$7:B55,B55,$D$7:D55,D55)=1,1,0)</f>
        <v>1</v>
      </c>
    </row>
    <row r="56" spans="1:9" ht="22.95" customHeight="1">
      <c r="A56" s="1" t="s">
        <v>536</v>
      </c>
      <c r="B56" s="1" t="s">
        <v>533</v>
      </c>
      <c r="C56" s="1" t="s">
        <v>534</v>
      </c>
      <c r="D56" s="1" t="s">
        <v>27</v>
      </c>
      <c r="E56" s="1" t="s">
        <v>28</v>
      </c>
      <c r="F56" s="1" t="s">
        <v>10</v>
      </c>
      <c r="G56" s="9" t="s">
        <v>426</v>
      </c>
      <c r="H56" s="1" t="s">
        <v>28</v>
      </c>
      <c r="I56" s="10">
        <f>IF(COUNTIFS($B$7:B56,B56,$D$7:D56,D56)=1,1,0)</f>
        <v>1</v>
      </c>
    </row>
    <row r="57" spans="1:9" ht="22.95" customHeight="1">
      <c r="A57" s="1" t="s">
        <v>537</v>
      </c>
      <c r="B57" s="1" t="s">
        <v>533</v>
      </c>
      <c r="C57" s="1" t="s">
        <v>534</v>
      </c>
      <c r="D57" s="1" t="s">
        <v>187</v>
      </c>
      <c r="E57" s="1" t="s">
        <v>188</v>
      </c>
      <c r="F57" s="1" t="s">
        <v>11</v>
      </c>
      <c r="G57" s="9" t="s">
        <v>538</v>
      </c>
      <c r="H57" s="1" t="s">
        <v>188</v>
      </c>
      <c r="I57" s="10">
        <f>IF(COUNTIFS($B$7:B57,B57,$D$7:D57,D57)=1,1,0)</f>
        <v>1</v>
      </c>
    </row>
    <row r="58" spans="1:9" ht="22.95" customHeight="1">
      <c r="A58" s="1" t="s">
        <v>539</v>
      </c>
      <c r="B58" s="1" t="s">
        <v>540</v>
      </c>
      <c r="C58" s="1" t="s">
        <v>541</v>
      </c>
      <c r="D58" s="1" t="s">
        <v>403</v>
      </c>
      <c r="E58" s="1" t="s">
        <v>404</v>
      </c>
      <c r="F58" s="1" t="s">
        <v>421</v>
      </c>
      <c r="G58" s="9" t="s">
        <v>542</v>
      </c>
      <c r="H58" s="1" t="s">
        <v>404</v>
      </c>
      <c r="I58" s="10">
        <f>IF(COUNTIFS($B$7:B58,B58,$D$7:D58,D58)=1,1,0)</f>
        <v>1</v>
      </c>
    </row>
    <row r="59" spans="1:9" ht="22.95" customHeight="1">
      <c r="A59" s="1" t="s">
        <v>543</v>
      </c>
      <c r="B59" s="1" t="s">
        <v>540</v>
      </c>
      <c r="C59" s="1" t="s">
        <v>541</v>
      </c>
      <c r="D59" s="1" t="s">
        <v>27</v>
      </c>
      <c r="E59" s="1" t="s">
        <v>28</v>
      </c>
      <c r="F59" s="1" t="s">
        <v>10</v>
      </c>
      <c r="G59" s="9" t="s">
        <v>426</v>
      </c>
      <c r="H59" s="1" t="s">
        <v>28</v>
      </c>
      <c r="I59" s="10">
        <f>IF(COUNTIFS($B$7:B59,B59,$D$7:D59,D59)=1,1,0)</f>
        <v>1</v>
      </c>
    </row>
    <row r="60" spans="1:9" ht="22.95" customHeight="1">
      <c r="A60" s="1" t="s">
        <v>544</v>
      </c>
      <c r="B60" s="1" t="s">
        <v>540</v>
      </c>
      <c r="C60" s="1" t="s">
        <v>541</v>
      </c>
      <c r="D60" s="1" t="s">
        <v>313</v>
      </c>
      <c r="E60" s="1" t="s">
        <v>314</v>
      </c>
      <c r="F60" s="1" t="s">
        <v>11</v>
      </c>
      <c r="G60" s="9" t="s">
        <v>545</v>
      </c>
      <c r="H60" s="1" t="s">
        <v>314</v>
      </c>
      <c r="I60" s="10">
        <f>IF(COUNTIFS($B$7:B60,B60,$D$7:D60,D60)=1,1,0)</f>
        <v>1</v>
      </c>
    </row>
    <row r="61" spans="1:9" ht="22.95" customHeight="1">
      <c r="A61" s="1" t="s">
        <v>546</v>
      </c>
      <c r="B61" s="1" t="s">
        <v>547</v>
      </c>
      <c r="C61" s="1" t="s">
        <v>548</v>
      </c>
      <c r="D61" s="1" t="s">
        <v>315</v>
      </c>
      <c r="E61" s="1" t="s">
        <v>316</v>
      </c>
      <c r="F61" s="1" t="s">
        <v>421</v>
      </c>
      <c r="G61" s="9" t="s">
        <v>549</v>
      </c>
      <c r="H61" s="1" t="s">
        <v>316</v>
      </c>
      <c r="I61" s="10">
        <f>IF(COUNTIFS($B$7:B61,B61,$D$7:D61,D61)=1,1,0)</f>
        <v>1</v>
      </c>
    </row>
    <row r="62" spans="1:9" ht="22.95" customHeight="1">
      <c r="A62" s="1" t="s">
        <v>550</v>
      </c>
      <c r="B62" s="1" t="s">
        <v>547</v>
      </c>
      <c r="C62" s="1" t="s">
        <v>548</v>
      </c>
      <c r="D62" s="1" t="s">
        <v>29</v>
      </c>
      <c r="E62" s="1" t="s">
        <v>30</v>
      </c>
      <c r="F62" s="1" t="s">
        <v>10</v>
      </c>
      <c r="G62" s="9" t="s">
        <v>422</v>
      </c>
      <c r="H62" s="1" t="s">
        <v>30</v>
      </c>
      <c r="I62" s="10">
        <f>IF(COUNTIFS($B$7:B62,B62,$D$7:D62,D62)=1,1,0)</f>
        <v>1</v>
      </c>
    </row>
    <row r="63" spans="1:9" ht="22.95" customHeight="1">
      <c r="A63" s="1" t="s">
        <v>551</v>
      </c>
      <c r="B63" s="1" t="s">
        <v>547</v>
      </c>
      <c r="C63" s="1" t="s">
        <v>548</v>
      </c>
      <c r="D63" s="1" t="s">
        <v>27</v>
      </c>
      <c r="E63" s="1" t="s">
        <v>28</v>
      </c>
      <c r="F63" s="1" t="s">
        <v>11</v>
      </c>
      <c r="G63" s="9" t="s">
        <v>426</v>
      </c>
      <c r="H63" s="1" t="s">
        <v>28</v>
      </c>
      <c r="I63" s="10">
        <f>IF(COUNTIFS($B$7:B63,B63,$D$7:D63,D63)=1,1,0)</f>
        <v>1</v>
      </c>
    </row>
    <row r="64" spans="1:9" ht="22.95" customHeight="1">
      <c r="A64" s="1" t="s">
        <v>552</v>
      </c>
      <c r="B64" s="1" t="s">
        <v>553</v>
      </c>
      <c r="C64" s="1" t="s">
        <v>554</v>
      </c>
      <c r="D64" s="1" t="s">
        <v>51</v>
      </c>
      <c r="E64" s="1" t="s">
        <v>52</v>
      </c>
      <c r="F64" s="1" t="s">
        <v>421</v>
      </c>
      <c r="G64" s="9" t="s">
        <v>555</v>
      </c>
      <c r="H64" s="1" t="s">
        <v>52</v>
      </c>
      <c r="I64" s="10">
        <f>IF(COUNTIFS($B$7:B64,B64,$D$7:D64,D64)=1,1,0)</f>
        <v>1</v>
      </c>
    </row>
    <row r="65" spans="1:9" ht="22.95" customHeight="1">
      <c r="A65" s="1" t="s">
        <v>556</v>
      </c>
      <c r="B65" s="1" t="s">
        <v>553</v>
      </c>
      <c r="C65" s="1" t="s">
        <v>554</v>
      </c>
      <c r="D65" s="1" t="s">
        <v>27</v>
      </c>
      <c r="E65" s="1" t="s">
        <v>28</v>
      </c>
      <c r="F65" s="1" t="s">
        <v>10</v>
      </c>
      <c r="G65" s="9" t="s">
        <v>426</v>
      </c>
      <c r="H65" s="1" t="s">
        <v>28</v>
      </c>
      <c r="I65" s="10">
        <f>IF(COUNTIFS($B$7:B65,B65,$D$7:D65,D65)=1,1,0)</f>
        <v>1</v>
      </c>
    </row>
    <row r="66" spans="1:9" ht="22.95" customHeight="1">
      <c r="A66" s="1" t="s">
        <v>557</v>
      </c>
      <c r="B66" s="1" t="s">
        <v>553</v>
      </c>
      <c r="C66" s="1" t="s">
        <v>554</v>
      </c>
      <c r="D66" s="1" t="s">
        <v>29</v>
      </c>
      <c r="E66" s="1" t="s">
        <v>30</v>
      </c>
      <c r="F66" s="1" t="s">
        <v>11</v>
      </c>
      <c r="G66" s="9" t="s">
        <v>518</v>
      </c>
      <c r="H66" s="1" t="s">
        <v>30</v>
      </c>
      <c r="I66" s="10">
        <f>IF(COUNTIFS($B$7:B66,B66,$D$7:D66,D66)=1,1,0)</f>
        <v>1</v>
      </c>
    </row>
    <row r="67" spans="1:9" ht="22.95" customHeight="1">
      <c r="A67" s="1" t="s">
        <v>558</v>
      </c>
      <c r="B67" s="1" t="s">
        <v>559</v>
      </c>
      <c r="C67" s="1" t="s">
        <v>560</v>
      </c>
      <c r="D67" s="1" t="s">
        <v>113</v>
      </c>
      <c r="E67" s="1" t="s">
        <v>114</v>
      </c>
      <c r="F67" s="1" t="s">
        <v>421</v>
      </c>
      <c r="G67" s="9" t="s">
        <v>561</v>
      </c>
      <c r="H67" s="1" t="s">
        <v>114</v>
      </c>
      <c r="I67" s="10">
        <f>IF(COUNTIFS($B$7:B67,B67,$D$7:D67,D67)=1,1,0)</f>
        <v>1</v>
      </c>
    </row>
    <row r="68" spans="1:9" ht="22.95" customHeight="1">
      <c r="A68" s="1" t="s">
        <v>562</v>
      </c>
      <c r="B68" s="1" t="s">
        <v>559</v>
      </c>
      <c r="C68" s="1" t="s">
        <v>560</v>
      </c>
      <c r="D68" s="1" t="s">
        <v>31</v>
      </c>
      <c r="E68" s="1" t="s">
        <v>32</v>
      </c>
      <c r="F68" s="1" t="s">
        <v>10</v>
      </c>
      <c r="G68" s="9" t="s">
        <v>461</v>
      </c>
      <c r="H68" s="1" t="s">
        <v>32</v>
      </c>
      <c r="I68" s="10">
        <f>IF(COUNTIFS($B$7:B68,B68,$D$7:D68,D68)=1,1,0)</f>
        <v>1</v>
      </c>
    </row>
    <row r="69" spans="1:9" ht="22.95" customHeight="1">
      <c r="A69" s="1" t="s">
        <v>563</v>
      </c>
      <c r="B69" s="1" t="s">
        <v>559</v>
      </c>
      <c r="C69" s="1" t="s">
        <v>560</v>
      </c>
      <c r="D69" s="1" t="s">
        <v>71</v>
      </c>
      <c r="E69" s="1" t="s">
        <v>72</v>
      </c>
      <c r="F69" s="1" t="s">
        <v>11</v>
      </c>
      <c r="G69" s="9" t="s">
        <v>564</v>
      </c>
      <c r="H69" s="1" t="s">
        <v>72</v>
      </c>
      <c r="I69" s="10">
        <f>IF(COUNTIFS($B$7:B69,B69,$D$7:D69,D69)=1,1,0)</f>
        <v>1</v>
      </c>
    </row>
    <row r="70" spans="1:9" ht="22.95" customHeight="1">
      <c r="A70" s="1" t="s">
        <v>565</v>
      </c>
      <c r="B70" s="1" t="s">
        <v>566</v>
      </c>
      <c r="C70" s="1" t="s">
        <v>567</v>
      </c>
      <c r="D70" s="1" t="s">
        <v>65</v>
      </c>
      <c r="E70" s="1" t="s">
        <v>66</v>
      </c>
      <c r="F70" s="1" t="s">
        <v>421</v>
      </c>
      <c r="G70" s="9" t="s">
        <v>568</v>
      </c>
      <c r="H70" s="1" t="s">
        <v>569</v>
      </c>
      <c r="I70" s="10">
        <f>IF(COUNTIFS($B$7:B70,B70,$D$7:D70,D70)=1,1,0)</f>
        <v>1</v>
      </c>
    </row>
    <row r="71" spans="1:9" ht="22.95" customHeight="1">
      <c r="A71" s="1" t="s">
        <v>570</v>
      </c>
      <c r="B71" s="1" t="s">
        <v>566</v>
      </c>
      <c r="C71" s="1" t="s">
        <v>567</v>
      </c>
      <c r="D71" s="1" t="s">
        <v>195</v>
      </c>
      <c r="E71" s="1" t="s">
        <v>196</v>
      </c>
      <c r="F71" s="1" t="s">
        <v>10</v>
      </c>
      <c r="G71" s="9" t="s">
        <v>571</v>
      </c>
      <c r="H71" s="1" t="s">
        <v>196</v>
      </c>
      <c r="I71" s="10">
        <f>IF(COUNTIFS($B$7:B71,B71,$D$7:D71,D71)=1,1,0)</f>
        <v>1</v>
      </c>
    </row>
    <row r="72" spans="1:9" ht="22.95" customHeight="1">
      <c r="A72" s="1" t="s">
        <v>572</v>
      </c>
      <c r="B72" s="1" t="s">
        <v>566</v>
      </c>
      <c r="C72" s="1" t="s">
        <v>567</v>
      </c>
      <c r="D72" s="1" t="s">
        <v>29</v>
      </c>
      <c r="E72" s="1" t="s">
        <v>30</v>
      </c>
      <c r="F72" s="1" t="s">
        <v>11</v>
      </c>
      <c r="G72" s="9" t="s">
        <v>518</v>
      </c>
      <c r="H72" s="1" t="s">
        <v>30</v>
      </c>
      <c r="I72" s="10">
        <f>IF(COUNTIFS($B$7:B72,B72,$D$7:D72,D72)=1,1,0)</f>
        <v>1</v>
      </c>
    </row>
    <row r="73" spans="1:9" ht="22.95" customHeight="1">
      <c r="A73" s="1" t="s">
        <v>573</v>
      </c>
      <c r="B73" s="1" t="s">
        <v>574</v>
      </c>
      <c r="C73" s="1" t="s">
        <v>575</v>
      </c>
      <c r="D73" s="1" t="s">
        <v>121</v>
      </c>
      <c r="E73" s="1" t="s">
        <v>122</v>
      </c>
      <c r="F73" s="1" t="s">
        <v>421</v>
      </c>
      <c r="G73" s="9" t="s">
        <v>576</v>
      </c>
      <c r="H73" s="1" t="s">
        <v>122</v>
      </c>
      <c r="I73" s="10">
        <f>IF(COUNTIFS($B$7:B73,B73,$D$7:D73,D73)=1,1,0)</f>
        <v>1</v>
      </c>
    </row>
    <row r="74" spans="1:9" ht="22.95" customHeight="1">
      <c r="A74" s="1" t="s">
        <v>577</v>
      </c>
      <c r="B74" s="1" t="s">
        <v>574</v>
      </c>
      <c r="C74" s="1" t="s">
        <v>575</v>
      </c>
      <c r="D74" s="1" t="s">
        <v>73</v>
      </c>
      <c r="E74" s="1" t="s">
        <v>74</v>
      </c>
      <c r="F74" s="1" t="s">
        <v>10</v>
      </c>
      <c r="G74" s="9" t="s">
        <v>578</v>
      </c>
      <c r="H74" s="1" t="s">
        <v>74</v>
      </c>
      <c r="I74" s="10">
        <f>IF(COUNTIFS($B$7:B74,B74,$D$7:D74,D74)=1,1,0)</f>
        <v>1</v>
      </c>
    </row>
    <row r="75" spans="1:9" ht="22.95" customHeight="1">
      <c r="A75" s="1" t="s">
        <v>579</v>
      </c>
      <c r="B75" s="1" t="s">
        <v>574</v>
      </c>
      <c r="C75" s="1" t="s">
        <v>575</v>
      </c>
      <c r="D75" s="1" t="s">
        <v>27</v>
      </c>
      <c r="E75" s="1" t="s">
        <v>28</v>
      </c>
      <c r="F75" s="1" t="s">
        <v>11</v>
      </c>
      <c r="G75" s="9" t="s">
        <v>426</v>
      </c>
      <c r="H75" s="1" t="s">
        <v>28</v>
      </c>
      <c r="I75" s="10">
        <f>IF(COUNTIFS($B$7:B75,B75,$D$7:D75,D75)=1,1,0)</f>
        <v>1</v>
      </c>
    </row>
    <row r="76" spans="1:9" ht="22.95" customHeight="1">
      <c r="A76" s="1" t="s">
        <v>580</v>
      </c>
      <c r="B76" s="1" t="s">
        <v>581</v>
      </c>
      <c r="C76" s="1" t="s">
        <v>582</v>
      </c>
      <c r="D76" s="1" t="s">
        <v>331</v>
      </c>
      <c r="E76" s="1" t="s">
        <v>332</v>
      </c>
      <c r="F76" s="1" t="s">
        <v>421</v>
      </c>
      <c r="G76" s="9" t="s">
        <v>583</v>
      </c>
      <c r="H76" s="1" t="s">
        <v>332</v>
      </c>
      <c r="I76" s="10">
        <f>IF(COUNTIFS($B$7:B76,B76,$D$7:D76,D76)=1,1,0)</f>
        <v>1</v>
      </c>
    </row>
    <row r="77" spans="1:9" ht="22.95" customHeight="1">
      <c r="A77" s="1" t="s">
        <v>584</v>
      </c>
      <c r="B77" s="1" t="s">
        <v>581</v>
      </c>
      <c r="C77" s="1" t="s">
        <v>582</v>
      </c>
      <c r="D77" s="1" t="s">
        <v>45</v>
      </c>
      <c r="E77" s="1" t="s">
        <v>46</v>
      </c>
      <c r="F77" s="1" t="s">
        <v>10</v>
      </c>
      <c r="G77" s="9" t="s">
        <v>439</v>
      </c>
      <c r="H77" s="1" t="s">
        <v>46</v>
      </c>
      <c r="I77" s="10">
        <f>IF(COUNTIFS($B$7:B77,B77,$D$7:D77,D77)=1,1,0)</f>
        <v>1</v>
      </c>
    </row>
    <row r="78" spans="1:9" ht="22.95" customHeight="1">
      <c r="A78" s="1" t="s">
        <v>585</v>
      </c>
      <c r="B78" s="1" t="s">
        <v>581</v>
      </c>
      <c r="C78" s="1" t="s">
        <v>582</v>
      </c>
      <c r="D78" s="1" t="s">
        <v>27</v>
      </c>
      <c r="E78" s="1" t="s">
        <v>28</v>
      </c>
      <c r="F78" s="1" t="s">
        <v>11</v>
      </c>
      <c r="G78" s="9" t="s">
        <v>426</v>
      </c>
      <c r="H78" s="1" t="s">
        <v>28</v>
      </c>
      <c r="I78" s="10">
        <f>IF(COUNTIFS($B$7:B78,B78,$D$7:D78,D78)=1,1,0)</f>
        <v>1</v>
      </c>
    </row>
    <row r="79" spans="1:9" ht="22.95" customHeight="1">
      <c r="A79" s="1" t="s">
        <v>586</v>
      </c>
      <c r="B79" s="1" t="s">
        <v>587</v>
      </c>
      <c r="C79" s="1" t="s">
        <v>588</v>
      </c>
      <c r="D79" s="1" t="s">
        <v>47</v>
      </c>
      <c r="E79" s="1" t="s">
        <v>48</v>
      </c>
      <c r="F79" s="1" t="s">
        <v>421</v>
      </c>
      <c r="G79" s="9" t="s">
        <v>487</v>
      </c>
      <c r="H79" s="1" t="s">
        <v>48</v>
      </c>
      <c r="I79" s="10">
        <f>IF(COUNTIFS($B$7:B79,B79,$D$7:D79,D79)=1,1,0)</f>
        <v>1</v>
      </c>
    </row>
    <row r="80" spans="1:9" ht="22.95" customHeight="1">
      <c r="A80" s="1" t="s">
        <v>589</v>
      </c>
      <c r="B80" s="1" t="s">
        <v>587</v>
      </c>
      <c r="C80" s="1" t="s">
        <v>588</v>
      </c>
      <c r="D80" s="1" t="s">
        <v>237</v>
      </c>
      <c r="E80" s="1" t="s">
        <v>238</v>
      </c>
      <c r="F80" s="1" t="s">
        <v>10</v>
      </c>
      <c r="G80" s="9" t="s">
        <v>590</v>
      </c>
      <c r="H80" s="1" t="s">
        <v>238</v>
      </c>
      <c r="I80" s="10">
        <f>IF(COUNTIFS($B$7:B80,B80,$D$7:D80,D80)=1,1,0)</f>
        <v>1</v>
      </c>
    </row>
    <row r="81" spans="1:9" ht="22.95" customHeight="1">
      <c r="A81" s="1" t="s">
        <v>591</v>
      </c>
      <c r="B81" s="1" t="s">
        <v>587</v>
      </c>
      <c r="C81" s="1" t="s">
        <v>588</v>
      </c>
      <c r="D81" s="1" t="s">
        <v>347</v>
      </c>
      <c r="E81" s="1" t="s">
        <v>348</v>
      </c>
      <c r="F81" s="1" t="s">
        <v>11</v>
      </c>
      <c r="G81" s="9" t="s">
        <v>592</v>
      </c>
      <c r="H81" s="1" t="s">
        <v>348</v>
      </c>
      <c r="I81" s="10">
        <f>IF(COUNTIFS($B$7:B81,B81,$D$7:D81,D81)=1,1,0)</f>
        <v>1</v>
      </c>
    </row>
    <row r="82" spans="1:9" ht="22.95" customHeight="1">
      <c r="A82" s="1" t="s">
        <v>593</v>
      </c>
      <c r="B82" s="1" t="s">
        <v>594</v>
      </c>
      <c r="C82" s="1" t="s">
        <v>595</v>
      </c>
      <c r="D82" s="1" t="s">
        <v>31</v>
      </c>
      <c r="E82" s="1" t="s">
        <v>32</v>
      </c>
      <c r="F82" s="1" t="s">
        <v>421</v>
      </c>
      <c r="G82" s="9" t="s">
        <v>461</v>
      </c>
      <c r="H82" s="1" t="s">
        <v>32</v>
      </c>
      <c r="I82" s="10">
        <f>IF(COUNTIFS($B$7:B82,B82,$D$7:D82,D82)=1,1,0)</f>
        <v>1</v>
      </c>
    </row>
    <row r="83" spans="1:9" ht="22.95" customHeight="1">
      <c r="A83" s="1" t="s">
        <v>596</v>
      </c>
      <c r="B83" s="1" t="s">
        <v>594</v>
      </c>
      <c r="C83" s="1" t="s">
        <v>595</v>
      </c>
      <c r="D83" s="1" t="s">
        <v>27</v>
      </c>
      <c r="E83" s="1" t="s">
        <v>28</v>
      </c>
      <c r="F83" s="1" t="s">
        <v>10</v>
      </c>
      <c r="G83" s="9" t="s">
        <v>426</v>
      </c>
      <c r="H83" s="1" t="s">
        <v>28</v>
      </c>
      <c r="I83" s="10">
        <f>IF(COUNTIFS($B$7:B83,B83,$D$7:D83,D83)=1,1,0)</f>
        <v>1</v>
      </c>
    </row>
    <row r="84" spans="1:9" ht="22.95" customHeight="1">
      <c r="A84" s="1" t="s">
        <v>597</v>
      </c>
      <c r="B84" s="1" t="s">
        <v>594</v>
      </c>
      <c r="C84" s="1" t="s">
        <v>595</v>
      </c>
      <c r="D84" s="1" t="s">
        <v>233</v>
      </c>
      <c r="E84" s="1" t="s">
        <v>234</v>
      </c>
      <c r="F84" s="1" t="s">
        <v>11</v>
      </c>
      <c r="G84" s="9" t="s">
        <v>598</v>
      </c>
      <c r="H84" s="1" t="s">
        <v>234</v>
      </c>
      <c r="I84" s="10">
        <f>IF(COUNTIFS($B$7:B84,B84,$D$7:D84,D84)=1,1,0)</f>
        <v>1</v>
      </c>
    </row>
    <row r="85" spans="1:9" ht="22.95" customHeight="1">
      <c r="A85" s="1" t="s">
        <v>599</v>
      </c>
      <c r="B85" s="1" t="s">
        <v>600</v>
      </c>
      <c r="C85" s="1" t="s">
        <v>601</v>
      </c>
      <c r="D85" s="1" t="s">
        <v>29</v>
      </c>
      <c r="E85" s="1" t="s">
        <v>30</v>
      </c>
      <c r="F85" s="1" t="s">
        <v>421</v>
      </c>
      <c r="G85" s="9" t="s">
        <v>422</v>
      </c>
      <c r="H85" s="1" t="s">
        <v>30</v>
      </c>
      <c r="I85" s="10">
        <f>IF(COUNTIFS($B$7:B85,B85,$D$7:D85,D85)=1,1,0)</f>
        <v>1</v>
      </c>
    </row>
    <row r="86" spans="1:9" ht="22.95" customHeight="1">
      <c r="A86" s="1" t="s">
        <v>602</v>
      </c>
      <c r="B86" s="1" t="s">
        <v>600</v>
      </c>
      <c r="C86" s="1" t="s">
        <v>601</v>
      </c>
      <c r="D86" s="1" t="s">
        <v>49</v>
      </c>
      <c r="E86" s="1" t="s">
        <v>50</v>
      </c>
      <c r="F86" s="1" t="s">
        <v>10</v>
      </c>
      <c r="G86" s="9" t="s">
        <v>502</v>
      </c>
      <c r="H86" s="1" t="s">
        <v>50</v>
      </c>
      <c r="I86" s="10">
        <f>IF(COUNTIFS($B$7:B86,B86,$D$7:D86,D86)=1,1,0)</f>
        <v>1</v>
      </c>
    </row>
    <row r="87" spans="1:9" ht="22.95" customHeight="1">
      <c r="A87" s="1" t="s">
        <v>603</v>
      </c>
      <c r="B87" s="1" t="s">
        <v>600</v>
      </c>
      <c r="C87" s="1" t="s">
        <v>601</v>
      </c>
      <c r="D87" s="1" t="s">
        <v>247</v>
      </c>
      <c r="E87" s="1" t="s">
        <v>248</v>
      </c>
      <c r="F87" s="1" t="s">
        <v>11</v>
      </c>
      <c r="G87" s="9" t="s">
        <v>604</v>
      </c>
      <c r="H87" s="1" t="s">
        <v>248</v>
      </c>
      <c r="I87" s="10">
        <f>IF(COUNTIFS($B$7:B87,B87,$D$7:D87,D87)=1,1,0)</f>
        <v>1</v>
      </c>
    </row>
    <row r="88" spans="1:9" ht="22.95" customHeight="1">
      <c r="A88" s="1" t="s">
        <v>605</v>
      </c>
      <c r="B88" s="1" t="s">
        <v>606</v>
      </c>
      <c r="C88" s="1" t="s">
        <v>607</v>
      </c>
      <c r="D88" s="1" t="s">
        <v>63</v>
      </c>
      <c r="E88" s="1" t="s">
        <v>64</v>
      </c>
      <c r="F88" s="1" t="s">
        <v>421</v>
      </c>
      <c r="G88" s="9" t="s">
        <v>608</v>
      </c>
      <c r="H88" s="1" t="s">
        <v>64</v>
      </c>
      <c r="I88" s="10">
        <f>IF(COUNTIFS($B$7:B88,B88,$D$7:D88,D88)=1,1,0)</f>
        <v>1</v>
      </c>
    </row>
    <row r="89" spans="1:9" ht="22.95" customHeight="1">
      <c r="A89" s="1" t="s">
        <v>609</v>
      </c>
      <c r="B89" s="1" t="s">
        <v>606</v>
      </c>
      <c r="C89" s="1" t="s">
        <v>607</v>
      </c>
      <c r="D89" s="1" t="s">
        <v>275</v>
      </c>
      <c r="E89" s="1" t="s">
        <v>276</v>
      </c>
      <c r="F89" s="1" t="s">
        <v>10</v>
      </c>
      <c r="G89" s="9" t="s">
        <v>610</v>
      </c>
      <c r="H89" s="1" t="s">
        <v>276</v>
      </c>
      <c r="I89" s="10">
        <f>IF(COUNTIFS($B$7:B89,B89,$D$7:D89,D89)=1,1,0)</f>
        <v>1</v>
      </c>
    </row>
    <row r="90" spans="1:9" ht="22.95" customHeight="1">
      <c r="A90" s="1" t="s">
        <v>611</v>
      </c>
      <c r="B90" s="1" t="s">
        <v>606</v>
      </c>
      <c r="C90" s="1" t="s">
        <v>607</v>
      </c>
      <c r="D90" s="1" t="s">
        <v>157</v>
      </c>
      <c r="E90" s="1" t="s">
        <v>158</v>
      </c>
      <c r="F90" s="1" t="s">
        <v>11</v>
      </c>
      <c r="G90" s="9" t="s">
        <v>612</v>
      </c>
      <c r="H90" s="1" t="s">
        <v>158</v>
      </c>
      <c r="I90" s="10">
        <f>IF(COUNTIFS($B$7:B90,B90,$D$7:D90,D90)=1,1,0)</f>
        <v>1</v>
      </c>
    </row>
    <row r="91" spans="1:9" ht="22.95" customHeight="1">
      <c r="A91" s="1" t="s">
        <v>613</v>
      </c>
      <c r="B91" s="1" t="s">
        <v>614</v>
      </c>
      <c r="C91" s="1" t="s">
        <v>615</v>
      </c>
      <c r="D91" s="1" t="s">
        <v>39</v>
      </c>
      <c r="E91" s="1" t="s">
        <v>40</v>
      </c>
      <c r="F91" s="1" t="s">
        <v>421</v>
      </c>
      <c r="G91" s="9" t="s">
        <v>616</v>
      </c>
      <c r="H91" s="1" t="s">
        <v>617</v>
      </c>
      <c r="I91" s="10">
        <f>IF(COUNTIFS($B$7:B91,B91,$D$7:D91,D91)=1,1,0)</f>
        <v>1</v>
      </c>
    </row>
    <row r="92" spans="1:9" ht="22.95" customHeight="1">
      <c r="A92" s="1" t="s">
        <v>618</v>
      </c>
      <c r="B92" s="1" t="s">
        <v>614</v>
      </c>
      <c r="C92" s="1" t="s">
        <v>615</v>
      </c>
      <c r="D92" s="1" t="s">
        <v>27</v>
      </c>
      <c r="E92" s="1" t="s">
        <v>28</v>
      </c>
      <c r="F92" s="1" t="s">
        <v>10</v>
      </c>
      <c r="G92" s="9" t="s">
        <v>426</v>
      </c>
      <c r="H92" s="1" t="s">
        <v>28</v>
      </c>
      <c r="I92" s="10">
        <f>IF(COUNTIFS($B$7:B92,B92,$D$7:D92,D92)=1,1,0)</f>
        <v>1</v>
      </c>
    </row>
    <row r="93" spans="1:9" ht="22.95" customHeight="1">
      <c r="A93" s="1" t="s">
        <v>619</v>
      </c>
      <c r="B93" s="1" t="s">
        <v>614</v>
      </c>
      <c r="C93" s="1" t="s">
        <v>615</v>
      </c>
      <c r="D93" s="1" t="s">
        <v>45</v>
      </c>
      <c r="E93" s="1" t="s">
        <v>46</v>
      </c>
      <c r="F93" s="1" t="s">
        <v>11</v>
      </c>
      <c r="G93" s="9" t="s">
        <v>439</v>
      </c>
      <c r="H93" s="1" t="s">
        <v>46</v>
      </c>
      <c r="I93" s="10">
        <f>IF(COUNTIFS($B$7:B93,B93,$D$7:D93,D93)=1,1,0)</f>
        <v>1</v>
      </c>
    </row>
    <row r="94" spans="1:9" ht="22.95" customHeight="1">
      <c r="A94" s="1" t="s">
        <v>620</v>
      </c>
      <c r="B94" s="1" t="s">
        <v>621</v>
      </c>
      <c r="C94" s="1" t="s">
        <v>622</v>
      </c>
      <c r="D94" s="1" t="s">
        <v>75</v>
      </c>
      <c r="E94" s="1" t="s">
        <v>76</v>
      </c>
      <c r="F94" s="1" t="s">
        <v>421</v>
      </c>
      <c r="G94" s="9" t="s">
        <v>623</v>
      </c>
      <c r="H94" s="1" t="s">
        <v>76</v>
      </c>
      <c r="I94" s="10">
        <f>IF(COUNTIFS($B$7:B94,B94,$D$7:D94,D94)=1,1,0)</f>
        <v>1</v>
      </c>
    </row>
    <row r="95" spans="1:9" ht="22.95" customHeight="1">
      <c r="A95" s="1" t="s">
        <v>624</v>
      </c>
      <c r="B95" s="1" t="s">
        <v>621</v>
      </c>
      <c r="C95" s="1" t="s">
        <v>622</v>
      </c>
      <c r="D95" s="1" t="s">
        <v>137</v>
      </c>
      <c r="E95" s="1" t="s">
        <v>138</v>
      </c>
      <c r="F95" s="1" t="s">
        <v>10</v>
      </c>
      <c r="G95" s="9" t="s">
        <v>625</v>
      </c>
      <c r="H95" s="1" t="s">
        <v>138</v>
      </c>
      <c r="I95" s="10">
        <f>IF(COUNTIFS($B$7:B95,B95,$D$7:D95,D95)=1,1,0)</f>
        <v>1</v>
      </c>
    </row>
    <row r="96" spans="1:9" ht="22.95" customHeight="1">
      <c r="A96" s="1" t="s">
        <v>626</v>
      </c>
      <c r="B96" s="1" t="s">
        <v>621</v>
      </c>
      <c r="C96" s="1" t="s">
        <v>622</v>
      </c>
      <c r="D96" s="1" t="s">
        <v>191</v>
      </c>
      <c r="E96" s="1" t="s">
        <v>192</v>
      </c>
      <c r="F96" s="1" t="s">
        <v>11</v>
      </c>
      <c r="G96" s="9" t="s">
        <v>627</v>
      </c>
      <c r="H96" s="1" t="s">
        <v>192</v>
      </c>
      <c r="I96" s="10">
        <f>IF(COUNTIFS($B$7:B96,B96,$D$7:D96,D96)=1,1,0)</f>
        <v>1</v>
      </c>
    </row>
    <row r="97" spans="1:9" ht="22.95" customHeight="1">
      <c r="A97" s="1" t="s">
        <v>628</v>
      </c>
      <c r="B97" s="1" t="s">
        <v>629</v>
      </c>
      <c r="C97" s="1" t="s">
        <v>630</v>
      </c>
      <c r="D97" s="1" t="s">
        <v>303</v>
      </c>
      <c r="E97" s="1" t="s">
        <v>304</v>
      </c>
      <c r="F97" s="1" t="s">
        <v>421</v>
      </c>
      <c r="G97" s="9" t="s">
        <v>631</v>
      </c>
      <c r="H97" s="1" t="s">
        <v>304</v>
      </c>
      <c r="I97" s="10">
        <f>IF(COUNTIFS($B$7:B97,B97,$D$7:D97,D97)=1,1,0)</f>
        <v>1</v>
      </c>
    </row>
    <row r="98" spans="1:9" ht="22.95" customHeight="1">
      <c r="A98" s="1" t="s">
        <v>632</v>
      </c>
      <c r="B98" s="1" t="s">
        <v>629</v>
      </c>
      <c r="C98" s="1" t="s">
        <v>630</v>
      </c>
      <c r="D98" s="1" t="s">
        <v>345</v>
      </c>
      <c r="E98" s="1" t="s">
        <v>346</v>
      </c>
      <c r="F98" s="1" t="s">
        <v>10</v>
      </c>
      <c r="G98" s="9" t="s">
        <v>633</v>
      </c>
      <c r="H98" s="1" t="s">
        <v>346</v>
      </c>
      <c r="I98" s="10">
        <f>IF(COUNTIFS($B$7:B98,B98,$D$7:D98,D98)=1,1,0)</f>
        <v>1</v>
      </c>
    </row>
    <row r="99" spans="1:9" ht="22.95" customHeight="1">
      <c r="A99" s="1" t="s">
        <v>634</v>
      </c>
      <c r="B99" s="1" t="s">
        <v>629</v>
      </c>
      <c r="C99" s="1" t="s">
        <v>630</v>
      </c>
      <c r="D99" s="1" t="s">
        <v>35</v>
      </c>
      <c r="E99" s="1" t="s">
        <v>36</v>
      </c>
      <c r="F99" s="1" t="s">
        <v>11</v>
      </c>
      <c r="G99" s="9" t="s">
        <v>430</v>
      </c>
      <c r="H99" s="1" t="s">
        <v>36</v>
      </c>
      <c r="I99" s="10">
        <f>IF(COUNTIFS($B$7:B99,B99,$D$7:D99,D99)=1,1,0)</f>
        <v>1</v>
      </c>
    </row>
    <row r="100" spans="1:9" ht="22.95" customHeight="1">
      <c r="A100" s="1" t="s">
        <v>635</v>
      </c>
      <c r="B100" s="1" t="s">
        <v>636</v>
      </c>
      <c r="C100" s="1" t="s">
        <v>637</v>
      </c>
      <c r="D100" s="1" t="s">
        <v>43</v>
      </c>
      <c r="E100" s="1" t="s">
        <v>44</v>
      </c>
      <c r="F100" s="1" t="s">
        <v>421</v>
      </c>
      <c r="G100" s="9" t="s">
        <v>638</v>
      </c>
      <c r="H100" s="1" t="s">
        <v>44</v>
      </c>
      <c r="I100" s="10">
        <f>IF(COUNTIFS($B$7:B100,B100,$D$7:D100,D100)=1,1,0)</f>
        <v>1</v>
      </c>
    </row>
    <row r="101" spans="1:9" ht="22.95" customHeight="1">
      <c r="A101" s="1" t="s">
        <v>639</v>
      </c>
      <c r="B101" s="1" t="s">
        <v>636</v>
      </c>
      <c r="C101" s="1" t="s">
        <v>637</v>
      </c>
      <c r="D101" s="1" t="s">
        <v>273</v>
      </c>
      <c r="E101" s="1" t="s">
        <v>274</v>
      </c>
      <c r="F101" s="1" t="s">
        <v>10</v>
      </c>
      <c r="G101" s="9" t="s">
        <v>640</v>
      </c>
      <c r="H101" s="1" t="s">
        <v>274</v>
      </c>
      <c r="I101" s="10">
        <f>IF(COUNTIFS($B$7:B101,B101,$D$7:D101,D101)=1,1,0)</f>
        <v>1</v>
      </c>
    </row>
    <row r="102" spans="1:9" ht="22.95" customHeight="1">
      <c r="A102" s="1" t="s">
        <v>641</v>
      </c>
      <c r="B102" s="1" t="s">
        <v>636</v>
      </c>
      <c r="C102" s="1" t="s">
        <v>637</v>
      </c>
      <c r="D102" s="1" t="s">
        <v>63</v>
      </c>
      <c r="E102" s="1" t="s">
        <v>64</v>
      </c>
      <c r="F102" s="1" t="s">
        <v>11</v>
      </c>
      <c r="G102" s="9" t="s">
        <v>608</v>
      </c>
      <c r="H102" s="1" t="s">
        <v>64</v>
      </c>
      <c r="I102" s="10">
        <f>IF(COUNTIFS($B$7:B102,B102,$D$7:D102,D102)=1,1,0)</f>
        <v>1</v>
      </c>
    </row>
    <row r="103" spans="1:9" ht="22.95" customHeight="1">
      <c r="A103" s="1" t="s">
        <v>642</v>
      </c>
      <c r="B103" s="1" t="s">
        <v>643</v>
      </c>
      <c r="C103" s="1" t="s">
        <v>644</v>
      </c>
      <c r="D103" s="1" t="s">
        <v>69</v>
      </c>
      <c r="E103" s="1" t="s">
        <v>70</v>
      </c>
      <c r="F103" s="1" t="s">
        <v>421</v>
      </c>
      <c r="G103" s="9" t="s">
        <v>645</v>
      </c>
      <c r="H103" s="1" t="s">
        <v>70</v>
      </c>
      <c r="I103" s="10">
        <f>IF(COUNTIFS($B$7:B103,B103,$D$7:D103,D103)=1,1,0)</f>
        <v>1</v>
      </c>
    </row>
    <row r="104" spans="1:9" ht="22.95" customHeight="1">
      <c r="A104" s="1" t="s">
        <v>646</v>
      </c>
      <c r="B104" s="1" t="s">
        <v>643</v>
      </c>
      <c r="C104" s="1" t="s">
        <v>644</v>
      </c>
      <c r="D104" s="1" t="s">
        <v>385</v>
      </c>
      <c r="E104" s="1" t="s">
        <v>386</v>
      </c>
      <c r="F104" s="1" t="s">
        <v>10</v>
      </c>
      <c r="G104" s="9" t="s">
        <v>647</v>
      </c>
      <c r="H104" s="1" t="s">
        <v>386</v>
      </c>
      <c r="I104" s="10">
        <f>IF(COUNTIFS($B$7:B104,B104,$D$7:D104,D104)=1,1,0)</f>
        <v>1</v>
      </c>
    </row>
    <row r="105" spans="1:9" ht="22.95" customHeight="1">
      <c r="A105" s="1" t="s">
        <v>648</v>
      </c>
      <c r="B105" s="1" t="s">
        <v>643</v>
      </c>
      <c r="C105" s="1" t="s">
        <v>644</v>
      </c>
      <c r="D105" s="1" t="s">
        <v>361</v>
      </c>
      <c r="E105" s="1" t="s">
        <v>362</v>
      </c>
      <c r="F105" s="1" t="s">
        <v>11</v>
      </c>
      <c r="G105" s="9" t="s">
        <v>649</v>
      </c>
      <c r="H105" s="1" t="s">
        <v>362</v>
      </c>
      <c r="I105" s="10">
        <f>IF(COUNTIFS($B$7:B105,B105,$D$7:D105,D105)=1,1,0)</f>
        <v>1</v>
      </c>
    </row>
    <row r="106" spans="1:9" ht="22.95" customHeight="1">
      <c r="A106" s="1" t="s">
        <v>650</v>
      </c>
      <c r="B106" s="1" t="s">
        <v>651</v>
      </c>
      <c r="C106" s="1" t="s">
        <v>652</v>
      </c>
      <c r="D106" s="1" t="s">
        <v>363</v>
      </c>
      <c r="E106" s="1" t="s">
        <v>364</v>
      </c>
      <c r="F106" s="1" t="s">
        <v>421</v>
      </c>
      <c r="G106" s="9" t="s">
        <v>653</v>
      </c>
      <c r="H106" s="1" t="s">
        <v>364</v>
      </c>
      <c r="I106" s="10">
        <f>IF(COUNTIFS($B$7:B106,B106,$D$7:D106,D106)=1,1,0)</f>
        <v>1</v>
      </c>
    </row>
    <row r="107" spans="1:9" ht="22.95" customHeight="1">
      <c r="A107" s="1" t="s">
        <v>654</v>
      </c>
      <c r="B107" s="1" t="s">
        <v>651</v>
      </c>
      <c r="C107" s="1" t="s">
        <v>652</v>
      </c>
      <c r="D107" s="1" t="s">
        <v>27</v>
      </c>
      <c r="E107" s="1" t="s">
        <v>28</v>
      </c>
      <c r="F107" s="1" t="s">
        <v>10</v>
      </c>
      <c r="G107" s="9" t="s">
        <v>426</v>
      </c>
      <c r="H107" s="1" t="s">
        <v>28</v>
      </c>
      <c r="I107" s="10">
        <f>IF(COUNTIFS($B$7:B107,B107,$D$7:D107,D107)=1,1,0)</f>
        <v>1</v>
      </c>
    </row>
    <row r="108" spans="1:9" ht="22.95" customHeight="1">
      <c r="A108" s="1" t="s">
        <v>655</v>
      </c>
      <c r="B108" s="1" t="s">
        <v>651</v>
      </c>
      <c r="C108" s="1" t="s">
        <v>652</v>
      </c>
      <c r="D108" s="1" t="s">
        <v>29</v>
      </c>
      <c r="E108" s="1" t="s">
        <v>30</v>
      </c>
      <c r="F108" s="1" t="s">
        <v>11</v>
      </c>
      <c r="G108" s="9" t="s">
        <v>518</v>
      </c>
      <c r="H108" s="1" t="s">
        <v>30</v>
      </c>
      <c r="I108" s="10">
        <f>IF(COUNTIFS($B$7:B108,B108,$D$7:D108,D108)=1,1,0)</f>
        <v>1</v>
      </c>
    </row>
    <row r="109" spans="1:9" ht="22.95" customHeight="1">
      <c r="A109" s="1" t="s">
        <v>656</v>
      </c>
      <c r="B109" s="1" t="s">
        <v>657</v>
      </c>
      <c r="C109" s="1" t="s">
        <v>658</v>
      </c>
      <c r="D109" s="1" t="s">
        <v>337</v>
      </c>
      <c r="E109" s="1" t="s">
        <v>338</v>
      </c>
      <c r="F109" s="1" t="s">
        <v>421</v>
      </c>
      <c r="G109" s="9" t="s">
        <v>659</v>
      </c>
      <c r="H109" s="1" t="s">
        <v>338</v>
      </c>
      <c r="I109" s="10">
        <f>IF(COUNTIFS($B$7:B109,B109,$D$7:D109,D109)=1,1,0)</f>
        <v>1</v>
      </c>
    </row>
    <row r="110" spans="1:9" ht="22.95" customHeight="1">
      <c r="A110" s="1" t="s">
        <v>660</v>
      </c>
      <c r="B110" s="1" t="s">
        <v>657</v>
      </c>
      <c r="C110" s="1" t="s">
        <v>658</v>
      </c>
      <c r="D110" s="1" t="s">
        <v>149</v>
      </c>
      <c r="E110" s="1" t="s">
        <v>150</v>
      </c>
      <c r="F110" s="1" t="s">
        <v>10</v>
      </c>
      <c r="G110" s="9" t="s">
        <v>661</v>
      </c>
      <c r="H110" s="1" t="s">
        <v>150</v>
      </c>
      <c r="I110" s="10">
        <f>IF(COUNTIFS($B$7:B110,B110,$D$7:D110,D110)=1,1,0)</f>
        <v>1</v>
      </c>
    </row>
    <row r="111" spans="1:9" ht="22.95" customHeight="1">
      <c r="A111" s="1" t="s">
        <v>662</v>
      </c>
      <c r="B111" s="1" t="s">
        <v>657</v>
      </c>
      <c r="C111" s="1" t="s">
        <v>658</v>
      </c>
      <c r="D111" s="1" t="s">
        <v>141</v>
      </c>
      <c r="E111" s="1" t="s">
        <v>142</v>
      </c>
      <c r="F111" s="1" t="s">
        <v>11</v>
      </c>
      <c r="G111" s="9" t="s">
        <v>663</v>
      </c>
      <c r="H111" s="1" t="s">
        <v>142</v>
      </c>
      <c r="I111" s="10">
        <f>IF(COUNTIFS($B$7:B111,B111,$D$7:D111,D111)=1,1,0)</f>
        <v>1</v>
      </c>
    </row>
    <row r="112" spans="1:9" ht="22.95" customHeight="1">
      <c r="A112" s="1" t="s">
        <v>664</v>
      </c>
      <c r="B112" s="1" t="s">
        <v>665</v>
      </c>
      <c r="C112" s="1" t="s">
        <v>666</v>
      </c>
      <c r="D112" s="1" t="s">
        <v>321</v>
      </c>
      <c r="E112" s="1" t="s">
        <v>322</v>
      </c>
      <c r="F112" s="1" t="s">
        <v>421</v>
      </c>
      <c r="G112" s="9" t="s">
        <v>667</v>
      </c>
      <c r="H112" s="1" t="s">
        <v>322</v>
      </c>
      <c r="I112" s="10">
        <f>IF(COUNTIFS($B$7:B112,B112,$D$7:D112,D112)=1,1,0)</f>
        <v>1</v>
      </c>
    </row>
    <row r="113" spans="1:9" ht="22.95" customHeight="1">
      <c r="A113" s="1" t="s">
        <v>668</v>
      </c>
      <c r="B113" s="1" t="s">
        <v>665</v>
      </c>
      <c r="C113" s="1" t="s">
        <v>666</v>
      </c>
      <c r="D113" s="1" t="s">
        <v>389</v>
      </c>
      <c r="E113" s="1" t="s">
        <v>390</v>
      </c>
      <c r="F113" s="1" t="s">
        <v>10</v>
      </c>
      <c r="G113" s="9" t="s">
        <v>669</v>
      </c>
      <c r="H113" s="1" t="s">
        <v>390</v>
      </c>
      <c r="I113" s="10">
        <f>IF(COUNTIFS($B$7:B113,B113,$D$7:D113,D113)=1,1,0)</f>
        <v>1</v>
      </c>
    </row>
    <row r="114" spans="1:9" ht="22.95" customHeight="1">
      <c r="A114" s="1" t="s">
        <v>670</v>
      </c>
      <c r="B114" s="1" t="s">
        <v>665</v>
      </c>
      <c r="C114" s="1" t="s">
        <v>666</v>
      </c>
      <c r="D114" s="1" t="s">
        <v>269</v>
      </c>
      <c r="E114" s="1" t="s">
        <v>270</v>
      </c>
      <c r="F114" s="1" t="s">
        <v>11</v>
      </c>
      <c r="G114" s="9" t="s">
        <v>671</v>
      </c>
      <c r="H114" s="1" t="s">
        <v>270</v>
      </c>
      <c r="I114" s="10">
        <f>IF(COUNTIFS($B$7:B114,B114,$D$7:D114,D114)=1,1,0)</f>
        <v>1</v>
      </c>
    </row>
    <row r="115" spans="1:9" ht="22.95" customHeight="1">
      <c r="A115" s="1" t="s">
        <v>672</v>
      </c>
      <c r="B115" s="1" t="s">
        <v>673</v>
      </c>
      <c r="C115" s="1" t="s">
        <v>674</v>
      </c>
      <c r="D115" s="1" t="s">
        <v>393</v>
      </c>
      <c r="E115" s="1" t="s">
        <v>394</v>
      </c>
      <c r="F115" s="1" t="s">
        <v>421</v>
      </c>
      <c r="G115" s="9" t="s">
        <v>675</v>
      </c>
      <c r="H115" s="1" t="s">
        <v>394</v>
      </c>
      <c r="I115" s="10">
        <f>IF(COUNTIFS($B$7:B115,B115,$D$7:D115,D115)=1,1,0)</f>
        <v>1</v>
      </c>
    </row>
    <row r="116" spans="1:9" ht="22.95" customHeight="1">
      <c r="A116" s="1" t="s">
        <v>676</v>
      </c>
      <c r="B116" s="1" t="s">
        <v>673</v>
      </c>
      <c r="C116" s="1" t="s">
        <v>674</v>
      </c>
      <c r="D116" s="1" t="s">
        <v>235</v>
      </c>
      <c r="E116" s="1" t="s">
        <v>236</v>
      </c>
      <c r="F116" s="1" t="s">
        <v>10</v>
      </c>
      <c r="G116" s="9" t="s">
        <v>677</v>
      </c>
      <c r="H116" s="1" t="s">
        <v>236</v>
      </c>
      <c r="I116" s="10">
        <f>IF(COUNTIFS($B$7:B116,B116,$D$7:D116,D116)=1,1,0)</f>
        <v>1</v>
      </c>
    </row>
    <row r="117" spans="1:9" ht="22.95" customHeight="1">
      <c r="A117" s="1" t="s">
        <v>678</v>
      </c>
      <c r="B117" s="1" t="s">
        <v>673</v>
      </c>
      <c r="C117" s="1" t="s">
        <v>674</v>
      </c>
      <c r="D117" s="1" t="s">
        <v>311</v>
      </c>
      <c r="E117" s="1" t="s">
        <v>312</v>
      </c>
      <c r="F117" s="1" t="s">
        <v>11</v>
      </c>
      <c r="G117" s="9" t="s">
        <v>679</v>
      </c>
      <c r="H117" s="1" t="s">
        <v>312</v>
      </c>
      <c r="I117" s="10">
        <f>IF(COUNTIFS($B$7:B117,B117,$D$7:D117,D117)=1,1,0)</f>
        <v>1</v>
      </c>
    </row>
    <row r="118" spans="1:9" ht="22.95" customHeight="1">
      <c r="A118" s="1" t="s">
        <v>680</v>
      </c>
      <c r="B118" s="1" t="s">
        <v>681</v>
      </c>
      <c r="C118" s="1" t="s">
        <v>682</v>
      </c>
      <c r="D118" s="1" t="s">
        <v>39</v>
      </c>
      <c r="E118" s="1" t="s">
        <v>40</v>
      </c>
      <c r="F118" s="1" t="s">
        <v>421</v>
      </c>
      <c r="G118" s="9" t="s">
        <v>616</v>
      </c>
      <c r="H118" s="1" t="s">
        <v>40</v>
      </c>
      <c r="I118" s="10">
        <f>IF(COUNTIFS($B$7:B118,B118,$D$7:D118,D118)=1,1,0)</f>
        <v>1</v>
      </c>
    </row>
    <row r="119" spans="1:9" ht="22.95" customHeight="1">
      <c r="A119" s="1" t="s">
        <v>683</v>
      </c>
      <c r="B119" s="1" t="s">
        <v>681</v>
      </c>
      <c r="C119" s="1" t="s">
        <v>682</v>
      </c>
      <c r="D119" s="1" t="s">
        <v>29</v>
      </c>
      <c r="E119" s="1" t="s">
        <v>30</v>
      </c>
      <c r="F119" s="1" t="s">
        <v>10</v>
      </c>
      <c r="G119" s="9" t="s">
        <v>422</v>
      </c>
      <c r="H119" s="1" t="s">
        <v>30</v>
      </c>
      <c r="I119" s="10">
        <f>IF(COUNTIFS($B$7:B119,B119,$D$7:D119,D119)=1,1,0)</f>
        <v>1</v>
      </c>
    </row>
    <row r="120" spans="1:9" ht="22.95" customHeight="1">
      <c r="A120" s="1" t="s">
        <v>684</v>
      </c>
      <c r="B120" s="1" t="s">
        <v>681</v>
      </c>
      <c r="C120" s="1" t="s">
        <v>682</v>
      </c>
      <c r="D120" s="1" t="s">
        <v>33</v>
      </c>
      <c r="E120" s="1" t="s">
        <v>34</v>
      </c>
      <c r="F120" s="1" t="s">
        <v>11</v>
      </c>
      <c r="G120" s="9" t="s">
        <v>424</v>
      </c>
      <c r="H120" s="1" t="s">
        <v>685</v>
      </c>
      <c r="I120" s="10">
        <f>IF(COUNTIFS($B$7:B120,B120,$D$7:D120,D120)=1,1,0)</f>
        <v>1</v>
      </c>
    </row>
    <row r="121" spans="1:9" ht="22.95" customHeight="1">
      <c r="A121" s="1" t="s">
        <v>686</v>
      </c>
      <c r="B121" s="1" t="s">
        <v>687</v>
      </c>
      <c r="C121" s="1" t="s">
        <v>688</v>
      </c>
      <c r="D121" s="1" t="s">
        <v>35</v>
      </c>
      <c r="E121" s="1" t="s">
        <v>36</v>
      </c>
      <c r="F121" s="1" t="s">
        <v>421</v>
      </c>
      <c r="G121" s="9" t="s">
        <v>430</v>
      </c>
      <c r="H121" s="1" t="s">
        <v>36</v>
      </c>
      <c r="I121" s="10">
        <f>IF(COUNTIFS($B$7:B121,B121,$D$7:D121,D121)=1,1,0)</f>
        <v>1</v>
      </c>
    </row>
    <row r="122" spans="1:9" ht="22.95" customHeight="1">
      <c r="A122" s="1" t="s">
        <v>689</v>
      </c>
      <c r="B122" s="1" t="s">
        <v>687</v>
      </c>
      <c r="C122" s="1" t="s">
        <v>688</v>
      </c>
      <c r="D122" s="1" t="s">
        <v>53</v>
      </c>
      <c r="E122" s="1" t="s">
        <v>54</v>
      </c>
      <c r="F122" s="1" t="s">
        <v>10</v>
      </c>
      <c r="G122" s="9" t="s">
        <v>432</v>
      </c>
      <c r="H122" s="1" t="s">
        <v>54</v>
      </c>
      <c r="I122" s="10">
        <f>IF(COUNTIFS($B$7:B122,B122,$D$7:D122,D122)=1,1,0)</f>
        <v>1</v>
      </c>
    </row>
    <row r="123" spans="1:9" ht="22.95" customHeight="1">
      <c r="A123" s="1" t="s">
        <v>690</v>
      </c>
      <c r="B123" s="1" t="s">
        <v>687</v>
      </c>
      <c r="C123" s="1" t="s">
        <v>688</v>
      </c>
      <c r="D123" s="1" t="s">
        <v>251</v>
      </c>
      <c r="E123" s="1" t="s">
        <v>252</v>
      </c>
      <c r="F123" s="1" t="s">
        <v>11</v>
      </c>
      <c r="G123" s="9" t="s">
        <v>691</v>
      </c>
      <c r="H123" s="1" t="s">
        <v>252</v>
      </c>
      <c r="I123" s="10">
        <f>IF(COUNTIFS($B$7:B123,B123,$D$7:D123,D123)=1,1,0)</f>
        <v>1</v>
      </c>
    </row>
    <row r="124" spans="1:9" ht="22.95" customHeight="1">
      <c r="A124" s="1" t="s">
        <v>692</v>
      </c>
      <c r="B124" s="1" t="s">
        <v>693</v>
      </c>
      <c r="C124" s="1" t="s">
        <v>694</v>
      </c>
      <c r="D124" s="1" t="s">
        <v>241</v>
      </c>
      <c r="E124" s="1" t="s">
        <v>242</v>
      </c>
      <c r="F124" s="1" t="s">
        <v>421</v>
      </c>
      <c r="G124" s="9" t="s">
        <v>695</v>
      </c>
      <c r="H124" s="1" t="s">
        <v>242</v>
      </c>
      <c r="I124" s="10">
        <f>IF(COUNTIFS($B$7:B124,B124,$D$7:D124,D124)=1,1,0)</f>
        <v>1</v>
      </c>
    </row>
    <row r="125" spans="1:9" ht="22.95" customHeight="1">
      <c r="A125" s="1" t="s">
        <v>696</v>
      </c>
      <c r="B125" s="1" t="s">
        <v>693</v>
      </c>
      <c r="C125" s="1" t="s">
        <v>694</v>
      </c>
      <c r="D125" s="1" t="s">
        <v>159</v>
      </c>
      <c r="E125" s="1" t="s">
        <v>160</v>
      </c>
      <c r="F125" s="1" t="s">
        <v>10</v>
      </c>
      <c r="G125" s="9" t="s">
        <v>697</v>
      </c>
      <c r="H125" s="1" t="s">
        <v>160</v>
      </c>
      <c r="I125" s="10">
        <f>IF(COUNTIFS($B$7:B125,B125,$D$7:D125,D125)=1,1,0)</f>
        <v>1</v>
      </c>
    </row>
    <row r="126" spans="1:9" ht="22.95" customHeight="1">
      <c r="A126" s="1" t="s">
        <v>698</v>
      </c>
      <c r="B126" s="1" t="s">
        <v>693</v>
      </c>
      <c r="C126" s="1" t="s">
        <v>694</v>
      </c>
      <c r="D126" s="1" t="s">
        <v>119</v>
      </c>
      <c r="E126" s="1" t="s">
        <v>120</v>
      </c>
      <c r="F126" s="1" t="s">
        <v>11</v>
      </c>
      <c r="G126" s="9" t="s">
        <v>699</v>
      </c>
      <c r="H126" s="1" t="s">
        <v>120</v>
      </c>
      <c r="I126" s="10">
        <f>IF(COUNTIFS($B$7:B126,B126,$D$7:D126,D126)=1,1,0)</f>
        <v>1</v>
      </c>
    </row>
    <row r="127" spans="1:9" ht="22.95" customHeight="1">
      <c r="A127" s="1" t="s">
        <v>700</v>
      </c>
      <c r="B127" s="1" t="s">
        <v>701</v>
      </c>
      <c r="C127" s="1" t="s">
        <v>702</v>
      </c>
      <c r="D127" s="1" t="s">
        <v>327</v>
      </c>
      <c r="E127" s="1" t="s">
        <v>328</v>
      </c>
      <c r="F127" s="1" t="s">
        <v>421</v>
      </c>
      <c r="G127" s="9" t="s">
        <v>703</v>
      </c>
      <c r="H127" s="1" t="s">
        <v>328</v>
      </c>
      <c r="I127" s="10">
        <f>IF(COUNTIFS($B$7:B127,B127,$D$7:D127,D127)=1,1,0)</f>
        <v>1</v>
      </c>
    </row>
    <row r="128" spans="1:9" ht="22.95" customHeight="1">
      <c r="A128" s="1" t="s">
        <v>704</v>
      </c>
      <c r="B128" s="1" t="s">
        <v>701</v>
      </c>
      <c r="C128" s="1" t="s">
        <v>702</v>
      </c>
      <c r="D128" s="1" t="s">
        <v>387</v>
      </c>
      <c r="E128" s="1" t="s">
        <v>388</v>
      </c>
      <c r="F128" s="1" t="s">
        <v>10</v>
      </c>
      <c r="G128" s="9" t="s">
        <v>705</v>
      </c>
      <c r="H128" s="1" t="s">
        <v>388</v>
      </c>
      <c r="I128" s="10">
        <f>IF(COUNTIFS($B$7:B128,B128,$D$7:D128,D128)=1,1,0)</f>
        <v>1</v>
      </c>
    </row>
    <row r="129" spans="1:9" ht="22.95" customHeight="1">
      <c r="A129" s="1" t="s">
        <v>706</v>
      </c>
      <c r="B129" s="1" t="s">
        <v>701</v>
      </c>
      <c r="C129" s="1" t="s">
        <v>702</v>
      </c>
      <c r="D129" s="1" t="s">
        <v>27</v>
      </c>
      <c r="E129" s="1" t="s">
        <v>28</v>
      </c>
      <c r="F129" s="1" t="s">
        <v>11</v>
      </c>
      <c r="G129" s="9" t="s">
        <v>426</v>
      </c>
      <c r="H129" s="1" t="s">
        <v>28</v>
      </c>
      <c r="I129" s="10">
        <f>IF(COUNTIFS($B$7:B129,B129,$D$7:D129,D129)=1,1,0)</f>
        <v>1</v>
      </c>
    </row>
    <row r="130" spans="1:9" ht="22.95" customHeight="1">
      <c r="A130" s="1" t="s">
        <v>707</v>
      </c>
      <c r="B130" s="1" t="s">
        <v>708</v>
      </c>
      <c r="C130" s="1" t="s">
        <v>709</v>
      </c>
      <c r="D130" s="1" t="s">
        <v>39</v>
      </c>
      <c r="E130" s="1" t="s">
        <v>40</v>
      </c>
      <c r="F130" s="1" t="s">
        <v>421</v>
      </c>
      <c r="G130" s="9" t="s">
        <v>616</v>
      </c>
      <c r="H130" s="1" t="s">
        <v>40</v>
      </c>
      <c r="I130" s="10">
        <f>IF(COUNTIFS($B$7:B130,B130,$D$7:D130,D130)=1,1,0)</f>
        <v>1</v>
      </c>
    </row>
    <row r="131" spans="1:9" ht="22.95" customHeight="1">
      <c r="A131" s="1" t="s">
        <v>710</v>
      </c>
      <c r="B131" s="1" t="s">
        <v>708</v>
      </c>
      <c r="C131" s="1" t="s">
        <v>709</v>
      </c>
      <c r="D131" s="1" t="s">
        <v>71</v>
      </c>
      <c r="E131" s="1" t="s">
        <v>72</v>
      </c>
      <c r="F131" s="1" t="s">
        <v>10</v>
      </c>
      <c r="G131" s="9" t="s">
        <v>564</v>
      </c>
      <c r="H131" s="1" t="s">
        <v>72</v>
      </c>
      <c r="I131" s="10">
        <f>IF(COUNTIFS($B$7:B131,B131,$D$7:D131,D131)=1,1,0)</f>
        <v>1</v>
      </c>
    </row>
    <row r="132" spans="1:9" ht="22.95" customHeight="1">
      <c r="A132" s="1" t="s">
        <v>711</v>
      </c>
      <c r="B132" s="1" t="s">
        <v>708</v>
      </c>
      <c r="C132" s="1" t="s">
        <v>709</v>
      </c>
      <c r="D132" s="1" t="s">
        <v>31</v>
      </c>
      <c r="E132" s="1" t="s">
        <v>32</v>
      </c>
      <c r="F132" s="1" t="s">
        <v>11</v>
      </c>
      <c r="G132" s="9" t="s">
        <v>461</v>
      </c>
      <c r="H132" s="1" t="s">
        <v>32</v>
      </c>
      <c r="I132" s="10">
        <f>IF(COUNTIFS($B$7:B132,B132,$D$7:D132,D132)=1,1,0)</f>
        <v>1</v>
      </c>
    </row>
    <row r="133" spans="1:9" ht="22.95" customHeight="1">
      <c r="A133" s="1" t="s">
        <v>712</v>
      </c>
      <c r="B133" s="1" t="s">
        <v>713</v>
      </c>
      <c r="C133" s="1" t="s">
        <v>714</v>
      </c>
      <c r="D133" s="1" t="s">
        <v>177</v>
      </c>
      <c r="E133" s="1" t="s">
        <v>178</v>
      </c>
      <c r="F133" s="1" t="s">
        <v>421</v>
      </c>
      <c r="G133" s="9" t="s">
        <v>715</v>
      </c>
      <c r="H133" s="1" t="s">
        <v>178</v>
      </c>
      <c r="I133" s="10">
        <f>IF(COUNTIFS($B$7:B133,B133,$D$7:D133,D133)=1,1,0)</f>
        <v>1</v>
      </c>
    </row>
    <row r="134" spans="1:9" ht="22.95" customHeight="1">
      <c r="A134" s="1" t="s">
        <v>716</v>
      </c>
      <c r="B134" s="1" t="s">
        <v>713</v>
      </c>
      <c r="C134" s="1" t="s">
        <v>714</v>
      </c>
      <c r="D134" s="1" t="s">
        <v>405</v>
      </c>
      <c r="E134" s="1" t="s">
        <v>406</v>
      </c>
      <c r="F134" s="1" t="s">
        <v>10</v>
      </c>
      <c r="G134" s="9" t="s">
        <v>715</v>
      </c>
      <c r="H134" s="1" t="s">
        <v>406</v>
      </c>
      <c r="I134" s="10">
        <f>IF(COUNTIFS($B$7:B134,B134,$D$7:D134,D134)=1,1,0)</f>
        <v>1</v>
      </c>
    </row>
    <row r="135" spans="1:9" ht="22.95" customHeight="1">
      <c r="A135" s="1" t="s">
        <v>717</v>
      </c>
      <c r="B135" s="1" t="s">
        <v>713</v>
      </c>
      <c r="C135" s="1" t="s">
        <v>714</v>
      </c>
      <c r="D135" s="1" t="s">
        <v>97</v>
      </c>
      <c r="E135" s="1" t="s">
        <v>98</v>
      </c>
      <c r="F135" s="1" t="s">
        <v>11</v>
      </c>
      <c r="G135" s="9" t="s">
        <v>718</v>
      </c>
      <c r="H135" s="1" t="s">
        <v>98</v>
      </c>
      <c r="I135" s="10">
        <f>IF(COUNTIFS($B$7:B135,B135,$D$7:D135,D135)=1,1,0)</f>
        <v>1</v>
      </c>
    </row>
    <row r="136" spans="1:9" ht="22.95" customHeight="1">
      <c r="A136" s="1" t="s">
        <v>719</v>
      </c>
      <c r="B136" s="1" t="s">
        <v>720</v>
      </c>
      <c r="C136" s="1" t="s">
        <v>721</v>
      </c>
      <c r="D136" s="1" t="s">
        <v>193</v>
      </c>
      <c r="E136" s="1" t="s">
        <v>194</v>
      </c>
      <c r="F136" s="1" t="s">
        <v>421</v>
      </c>
      <c r="G136" s="9" t="s">
        <v>722</v>
      </c>
      <c r="H136" s="1" t="s">
        <v>194</v>
      </c>
      <c r="I136" s="10">
        <f>IF(COUNTIFS($B$7:B136,B136,$D$7:D136,D136)=1,1,0)</f>
        <v>1</v>
      </c>
    </row>
    <row r="137" spans="1:9" ht="22.95" customHeight="1">
      <c r="A137" s="1" t="s">
        <v>723</v>
      </c>
      <c r="B137" s="1" t="s">
        <v>720</v>
      </c>
      <c r="C137" s="1" t="s">
        <v>721</v>
      </c>
      <c r="D137" s="1" t="s">
        <v>167</v>
      </c>
      <c r="E137" s="1" t="s">
        <v>168</v>
      </c>
      <c r="F137" s="1" t="s">
        <v>10</v>
      </c>
      <c r="G137" s="9" t="s">
        <v>724</v>
      </c>
      <c r="H137" s="1" t="s">
        <v>168</v>
      </c>
      <c r="I137" s="10">
        <f>IF(COUNTIFS($B$7:B137,B137,$D$7:D137,D137)=1,1,0)</f>
        <v>1</v>
      </c>
    </row>
    <row r="138" spans="1:9" ht="22.95" customHeight="1">
      <c r="A138" s="1" t="s">
        <v>725</v>
      </c>
      <c r="B138" s="1" t="s">
        <v>720</v>
      </c>
      <c r="C138" s="1" t="s">
        <v>721</v>
      </c>
      <c r="D138" s="1" t="s">
        <v>27</v>
      </c>
      <c r="E138" s="1" t="s">
        <v>28</v>
      </c>
      <c r="F138" s="1" t="s">
        <v>11</v>
      </c>
      <c r="G138" s="9" t="s">
        <v>426</v>
      </c>
      <c r="H138" s="1" t="s">
        <v>28</v>
      </c>
      <c r="I138" s="10">
        <f>IF(COUNTIFS($B$7:B138,B138,$D$7:D138,D138)=1,1,0)</f>
        <v>1</v>
      </c>
    </row>
    <row r="139" spans="1:9" ht="22.95" customHeight="1">
      <c r="A139" s="1" t="s">
        <v>726</v>
      </c>
      <c r="B139" s="1" t="s">
        <v>727</v>
      </c>
      <c r="C139" s="1" t="s">
        <v>728</v>
      </c>
      <c r="D139" s="1" t="s">
        <v>375</v>
      </c>
      <c r="E139" s="1" t="s">
        <v>376</v>
      </c>
      <c r="F139" s="1" t="s">
        <v>421</v>
      </c>
      <c r="G139" s="9" t="s">
        <v>729</v>
      </c>
      <c r="H139" s="1" t="s">
        <v>376</v>
      </c>
      <c r="I139" s="10">
        <f>IF(COUNTIFS($B$7:B139,B139,$D$7:D139,D139)=1,1,0)</f>
        <v>1</v>
      </c>
    </row>
    <row r="140" spans="1:9" ht="22.95" customHeight="1">
      <c r="A140" s="1" t="s">
        <v>730</v>
      </c>
      <c r="B140" s="1" t="s">
        <v>727</v>
      </c>
      <c r="C140" s="1" t="s">
        <v>728</v>
      </c>
      <c r="D140" s="1" t="s">
        <v>339</v>
      </c>
      <c r="E140" s="1" t="s">
        <v>340</v>
      </c>
      <c r="F140" s="1" t="s">
        <v>10</v>
      </c>
      <c r="G140" s="9" t="s">
        <v>731</v>
      </c>
      <c r="H140" s="1" t="s">
        <v>340</v>
      </c>
      <c r="I140" s="10">
        <f>IF(COUNTIFS($B$7:B140,B140,$D$7:D140,D140)=1,1,0)</f>
        <v>1</v>
      </c>
    </row>
    <row r="141" spans="1:9" ht="22.95" customHeight="1">
      <c r="A141" s="1" t="s">
        <v>732</v>
      </c>
      <c r="B141" s="1" t="s">
        <v>727</v>
      </c>
      <c r="C141" s="1" t="s">
        <v>728</v>
      </c>
      <c r="D141" s="1" t="s">
        <v>205</v>
      </c>
      <c r="E141" s="1" t="s">
        <v>206</v>
      </c>
      <c r="F141" s="1" t="s">
        <v>11</v>
      </c>
      <c r="G141" s="9" t="s">
        <v>733</v>
      </c>
      <c r="H141" s="1" t="s">
        <v>206</v>
      </c>
      <c r="I141" s="10">
        <f>IF(COUNTIFS($B$7:B141,B141,$D$7:D141,D141)=1,1,0)</f>
        <v>1</v>
      </c>
    </row>
    <row r="142" spans="1:9" ht="22.95" customHeight="1">
      <c r="A142" s="1" t="s">
        <v>734</v>
      </c>
      <c r="B142" s="1" t="s">
        <v>735</v>
      </c>
      <c r="C142" s="1" t="s">
        <v>736</v>
      </c>
      <c r="D142" s="1" t="s">
        <v>59</v>
      </c>
      <c r="E142" s="1" t="s">
        <v>60</v>
      </c>
      <c r="F142" s="1" t="s">
        <v>421</v>
      </c>
      <c r="G142" s="9" t="s">
        <v>529</v>
      </c>
      <c r="H142" s="1" t="s">
        <v>60</v>
      </c>
      <c r="I142" s="10">
        <f>IF(COUNTIFS($B$7:B142,B142,$D$7:D142,D142)=1,1,0)</f>
        <v>1</v>
      </c>
    </row>
    <row r="143" spans="1:9" ht="22.95" customHeight="1">
      <c r="A143" s="1" t="s">
        <v>737</v>
      </c>
      <c r="B143" s="1" t="s">
        <v>735</v>
      </c>
      <c r="C143" s="1" t="s">
        <v>736</v>
      </c>
      <c r="D143" s="1" t="s">
        <v>27</v>
      </c>
      <c r="E143" s="1" t="s">
        <v>28</v>
      </c>
      <c r="F143" s="1" t="s">
        <v>10</v>
      </c>
      <c r="G143" s="9" t="s">
        <v>426</v>
      </c>
      <c r="H143" s="1" t="s">
        <v>28</v>
      </c>
      <c r="I143" s="10">
        <f>IF(COUNTIFS($B$7:B143,B143,$D$7:D143,D143)=1,1,0)</f>
        <v>1</v>
      </c>
    </row>
    <row r="144" spans="1:9" ht="22.95" customHeight="1">
      <c r="A144" s="1" t="s">
        <v>738</v>
      </c>
      <c r="B144" s="1" t="s">
        <v>735</v>
      </c>
      <c r="C144" s="1" t="s">
        <v>736</v>
      </c>
      <c r="D144" s="1" t="s">
        <v>29</v>
      </c>
      <c r="E144" s="1" t="s">
        <v>30</v>
      </c>
      <c r="F144" s="1" t="s">
        <v>11</v>
      </c>
      <c r="G144" s="9" t="s">
        <v>518</v>
      </c>
      <c r="H144" s="1" t="s">
        <v>30</v>
      </c>
      <c r="I144" s="10">
        <f>IF(COUNTIFS($B$7:B144,B144,$D$7:D144,D144)=1,1,0)</f>
        <v>1</v>
      </c>
    </row>
    <row r="145" spans="1:9" ht="22.95" customHeight="1">
      <c r="A145" s="1" t="s">
        <v>739</v>
      </c>
      <c r="B145" s="1" t="s">
        <v>740</v>
      </c>
      <c r="C145" s="1" t="s">
        <v>741</v>
      </c>
      <c r="D145" s="1" t="s">
        <v>39</v>
      </c>
      <c r="E145" s="1" t="s">
        <v>40</v>
      </c>
      <c r="F145" s="1" t="s">
        <v>421</v>
      </c>
      <c r="G145" s="9" t="s">
        <v>616</v>
      </c>
      <c r="H145" s="1" t="s">
        <v>40</v>
      </c>
      <c r="I145" s="10">
        <f>IF(COUNTIFS($B$7:B145,B145,$D$7:D145,D145)=1,1,0)</f>
        <v>1</v>
      </c>
    </row>
    <row r="146" spans="1:9" ht="22.95" customHeight="1">
      <c r="A146" s="1" t="s">
        <v>742</v>
      </c>
      <c r="B146" s="1" t="s">
        <v>740</v>
      </c>
      <c r="C146" s="1" t="s">
        <v>741</v>
      </c>
      <c r="D146" s="1" t="s">
        <v>323</v>
      </c>
      <c r="E146" s="1" t="s">
        <v>324</v>
      </c>
      <c r="F146" s="1" t="s">
        <v>10</v>
      </c>
      <c r="G146" s="9" t="s">
        <v>743</v>
      </c>
      <c r="H146" s="1" t="s">
        <v>324</v>
      </c>
      <c r="I146" s="10">
        <f>IF(COUNTIFS($B$7:B146,B146,$D$7:D146,D146)=1,1,0)</f>
        <v>1</v>
      </c>
    </row>
    <row r="147" spans="1:9" ht="22.95" customHeight="1">
      <c r="A147" s="1" t="s">
        <v>744</v>
      </c>
      <c r="B147" s="1" t="s">
        <v>740</v>
      </c>
      <c r="C147" s="1" t="s">
        <v>741</v>
      </c>
      <c r="D147" s="1" t="s">
        <v>27</v>
      </c>
      <c r="E147" s="1" t="s">
        <v>28</v>
      </c>
      <c r="F147" s="1" t="s">
        <v>11</v>
      </c>
      <c r="G147" s="9" t="s">
        <v>426</v>
      </c>
      <c r="H147" s="1" t="s">
        <v>28</v>
      </c>
      <c r="I147" s="10">
        <f>IF(COUNTIFS($B$7:B147,B147,$D$7:D147,D147)=1,1,0)</f>
        <v>1</v>
      </c>
    </row>
    <row r="148" spans="1:9" ht="22.95" customHeight="1">
      <c r="A148" s="1" t="s">
        <v>745</v>
      </c>
      <c r="B148" s="1" t="s">
        <v>746</v>
      </c>
      <c r="C148" s="1" t="s">
        <v>747</v>
      </c>
      <c r="D148" s="1" t="s">
        <v>215</v>
      </c>
      <c r="E148" s="1" t="s">
        <v>216</v>
      </c>
      <c r="F148" s="1" t="s">
        <v>421</v>
      </c>
      <c r="G148" s="9" t="s">
        <v>748</v>
      </c>
      <c r="H148" s="1" t="s">
        <v>216</v>
      </c>
      <c r="I148" s="10">
        <f>IF(COUNTIFS($B$7:B148,B148,$D$7:D148,D148)=1,1,0)</f>
        <v>1</v>
      </c>
    </row>
    <row r="149" spans="1:9" ht="22.95" customHeight="1">
      <c r="A149" s="1" t="s">
        <v>749</v>
      </c>
      <c r="B149" s="1" t="s">
        <v>746</v>
      </c>
      <c r="C149" s="1" t="s">
        <v>747</v>
      </c>
      <c r="D149" s="1" t="s">
        <v>27</v>
      </c>
      <c r="E149" s="1" t="s">
        <v>28</v>
      </c>
      <c r="F149" s="1" t="s">
        <v>10</v>
      </c>
      <c r="G149" s="9" t="s">
        <v>426</v>
      </c>
      <c r="H149" s="1" t="s">
        <v>28</v>
      </c>
      <c r="I149" s="10">
        <f>IF(COUNTIFS($B$7:B149,B149,$D$7:D149,D149)=1,1,0)</f>
        <v>1</v>
      </c>
    </row>
    <row r="150" spans="1:9" ht="22.95" customHeight="1">
      <c r="A150" s="1" t="s">
        <v>750</v>
      </c>
      <c r="B150" s="1" t="s">
        <v>746</v>
      </c>
      <c r="C150" s="1" t="s">
        <v>747</v>
      </c>
      <c r="D150" s="1" t="s">
        <v>31</v>
      </c>
      <c r="E150" s="1" t="s">
        <v>32</v>
      </c>
      <c r="F150" s="1" t="s">
        <v>11</v>
      </c>
      <c r="G150" s="9" t="s">
        <v>461</v>
      </c>
      <c r="H150" s="1" t="s">
        <v>32</v>
      </c>
      <c r="I150" s="10">
        <f>IF(COUNTIFS($B$7:B150,B150,$D$7:D150,D150)=1,1,0)</f>
        <v>1</v>
      </c>
    </row>
    <row r="151" spans="1:9" ht="22.95" customHeight="1">
      <c r="A151" s="1" t="s">
        <v>751</v>
      </c>
      <c r="B151" s="1" t="s">
        <v>752</v>
      </c>
      <c r="C151" s="1" t="s">
        <v>753</v>
      </c>
      <c r="D151" s="1" t="s">
        <v>325</v>
      </c>
      <c r="E151" s="1" t="s">
        <v>326</v>
      </c>
      <c r="F151" s="1" t="s">
        <v>421</v>
      </c>
      <c r="G151" s="9" t="s">
        <v>754</v>
      </c>
      <c r="H151" s="1" t="s">
        <v>326</v>
      </c>
      <c r="I151" s="10">
        <f>IF(COUNTIFS($B$7:B151,B151,$D$7:D151,D151)=1,1,0)</f>
        <v>1</v>
      </c>
    </row>
    <row r="152" spans="1:9" ht="22.95" customHeight="1">
      <c r="A152" s="1" t="s">
        <v>755</v>
      </c>
      <c r="B152" s="1" t="s">
        <v>752</v>
      </c>
      <c r="C152" s="1" t="s">
        <v>753</v>
      </c>
      <c r="D152" s="1" t="s">
        <v>129</v>
      </c>
      <c r="E152" s="1" t="s">
        <v>130</v>
      </c>
      <c r="F152" s="1" t="s">
        <v>10</v>
      </c>
      <c r="G152" s="9" t="s">
        <v>756</v>
      </c>
      <c r="H152" s="1" t="s">
        <v>130</v>
      </c>
      <c r="I152" s="10">
        <f>IF(COUNTIFS($B$7:B152,B152,$D$7:D152,D152)=1,1,0)</f>
        <v>1</v>
      </c>
    </row>
    <row r="153" spans="1:9" ht="22.95" customHeight="1">
      <c r="A153" s="1" t="s">
        <v>757</v>
      </c>
      <c r="B153" s="1" t="s">
        <v>752</v>
      </c>
      <c r="C153" s="1" t="s">
        <v>753</v>
      </c>
      <c r="D153" s="1" t="s">
        <v>27</v>
      </c>
      <c r="E153" s="1" t="s">
        <v>28</v>
      </c>
      <c r="F153" s="1" t="s">
        <v>11</v>
      </c>
      <c r="G153" s="9" t="s">
        <v>426</v>
      </c>
      <c r="H153" s="1" t="s">
        <v>28</v>
      </c>
      <c r="I153" s="10">
        <f>IF(COUNTIFS($B$7:B153,B153,$D$7:D153,D153)=1,1,0)</f>
        <v>1</v>
      </c>
    </row>
    <row r="154" spans="1:9" ht="22.95" customHeight="1">
      <c r="A154" s="1" t="s">
        <v>758</v>
      </c>
      <c r="B154" s="1" t="s">
        <v>759</v>
      </c>
      <c r="C154" s="1" t="s">
        <v>760</v>
      </c>
      <c r="D154" s="1" t="s">
        <v>203</v>
      </c>
      <c r="E154" s="1" t="s">
        <v>204</v>
      </c>
      <c r="F154" s="1" t="s">
        <v>421</v>
      </c>
      <c r="G154" s="9" t="s">
        <v>761</v>
      </c>
      <c r="H154" s="1" t="s">
        <v>204</v>
      </c>
      <c r="I154" s="10">
        <f>IF(COUNTIFS($B$7:B154,B154,$D$7:D154,D154)=1,1,0)</f>
        <v>1</v>
      </c>
    </row>
    <row r="155" spans="1:9" ht="22.95" customHeight="1">
      <c r="A155" s="1" t="s">
        <v>762</v>
      </c>
      <c r="B155" s="1" t="s">
        <v>759</v>
      </c>
      <c r="C155" s="1" t="s">
        <v>760</v>
      </c>
      <c r="D155" s="1" t="s">
        <v>183</v>
      </c>
      <c r="E155" s="1" t="s">
        <v>184</v>
      </c>
      <c r="F155" s="1" t="s">
        <v>10</v>
      </c>
      <c r="G155" s="9" t="s">
        <v>763</v>
      </c>
      <c r="H155" s="1" t="s">
        <v>184</v>
      </c>
      <c r="I155" s="10">
        <f>IF(COUNTIFS($B$7:B155,B155,$D$7:D155,D155)=1,1,0)</f>
        <v>1</v>
      </c>
    </row>
    <row r="156" spans="1:9" ht="22.95" customHeight="1">
      <c r="A156" s="1" t="s">
        <v>764</v>
      </c>
      <c r="B156" s="1" t="s">
        <v>759</v>
      </c>
      <c r="C156" s="1" t="s">
        <v>760</v>
      </c>
      <c r="D156" s="1" t="s">
        <v>279</v>
      </c>
      <c r="E156" s="1" t="s">
        <v>280</v>
      </c>
      <c r="F156" s="1" t="s">
        <v>11</v>
      </c>
      <c r="G156" s="9" t="s">
        <v>765</v>
      </c>
      <c r="H156" s="1" t="s">
        <v>280</v>
      </c>
      <c r="I156" s="10">
        <f>IF(COUNTIFS($B$7:B156,B156,$D$7:D156,D156)=1,1,0)</f>
        <v>1</v>
      </c>
    </row>
    <row r="157" spans="1:9" ht="22.95" customHeight="1">
      <c r="A157" s="1" t="s">
        <v>766</v>
      </c>
      <c r="B157" s="1" t="s">
        <v>767</v>
      </c>
      <c r="C157" s="1" t="s">
        <v>768</v>
      </c>
      <c r="D157" s="1" t="s">
        <v>379</v>
      </c>
      <c r="E157" s="1" t="s">
        <v>380</v>
      </c>
      <c r="F157" s="1" t="s">
        <v>421</v>
      </c>
      <c r="G157" s="9" t="s">
        <v>769</v>
      </c>
      <c r="H157" s="1" t="s">
        <v>380</v>
      </c>
      <c r="I157" s="10">
        <f>IF(COUNTIFS($B$7:B157,B157,$D$7:D157,D157)=1,1,0)</f>
        <v>1</v>
      </c>
    </row>
    <row r="158" spans="1:9" ht="22.95" customHeight="1">
      <c r="A158" s="1" t="s">
        <v>770</v>
      </c>
      <c r="B158" s="1" t="s">
        <v>767</v>
      </c>
      <c r="C158" s="1" t="s">
        <v>768</v>
      </c>
      <c r="D158" s="1" t="s">
        <v>115</v>
      </c>
      <c r="E158" s="1" t="s">
        <v>116</v>
      </c>
      <c r="F158" s="1" t="s">
        <v>10</v>
      </c>
      <c r="G158" s="9" t="s">
        <v>771</v>
      </c>
      <c r="H158" s="1" t="s">
        <v>116</v>
      </c>
      <c r="I158" s="10">
        <f>IF(COUNTIFS($B$7:B158,B158,$D$7:D158,D158)=1,1,0)</f>
        <v>1</v>
      </c>
    </row>
    <row r="159" spans="1:9" ht="22.95" customHeight="1">
      <c r="A159" s="1" t="s">
        <v>772</v>
      </c>
      <c r="B159" s="1" t="s">
        <v>767</v>
      </c>
      <c r="C159" s="1" t="s">
        <v>768</v>
      </c>
      <c r="D159" s="1" t="s">
        <v>245</v>
      </c>
      <c r="E159" s="1" t="s">
        <v>246</v>
      </c>
      <c r="F159" s="1" t="s">
        <v>11</v>
      </c>
      <c r="G159" s="9" t="s">
        <v>773</v>
      </c>
      <c r="H159" s="1" t="s">
        <v>246</v>
      </c>
      <c r="I159" s="10">
        <f>IF(COUNTIFS($B$7:B159,B159,$D$7:D159,D159)=1,1,0)</f>
        <v>1</v>
      </c>
    </row>
    <row r="160" spans="1:9" ht="22.95" customHeight="1">
      <c r="A160" s="1" t="s">
        <v>774</v>
      </c>
      <c r="B160" s="1" t="s">
        <v>775</v>
      </c>
      <c r="C160" s="1" t="s">
        <v>776</v>
      </c>
      <c r="D160" s="1" t="s">
        <v>81</v>
      </c>
      <c r="E160" s="1" t="s">
        <v>82</v>
      </c>
      <c r="F160" s="1" t="s">
        <v>421</v>
      </c>
      <c r="G160" s="9" t="s">
        <v>777</v>
      </c>
      <c r="H160" s="1" t="s">
        <v>82</v>
      </c>
      <c r="I160" s="10">
        <f>IF(COUNTIFS($B$7:B160,B160,$D$7:D160,D160)=1,1,0)</f>
        <v>1</v>
      </c>
    </row>
    <row r="161" spans="1:9" ht="22.95" customHeight="1">
      <c r="A161" s="1" t="s">
        <v>778</v>
      </c>
      <c r="B161" s="1" t="s">
        <v>775</v>
      </c>
      <c r="C161" s="1" t="s">
        <v>776</v>
      </c>
      <c r="D161" s="1" t="s">
        <v>299</v>
      </c>
      <c r="E161" s="1" t="s">
        <v>300</v>
      </c>
      <c r="F161" s="1" t="s">
        <v>10</v>
      </c>
      <c r="G161" s="9" t="s">
        <v>779</v>
      </c>
      <c r="H161" s="1" t="s">
        <v>300</v>
      </c>
      <c r="I161" s="10">
        <f>IF(COUNTIFS($B$7:B161,B161,$D$7:D161,D161)=1,1,0)</f>
        <v>1</v>
      </c>
    </row>
    <row r="162" spans="1:9" ht="22.95" customHeight="1">
      <c r="A162" s="1" t="s">
        <v>780</v>
      </c>
      <c r="B162" s="1" t="s">
        <v>775</v>
      </c>
      <c r="C162" s="1" t="s">
        <v>776</v>
      </c>
      <c r="D162" s="1" t="s">
        <v>175</v>
      </c>
      <c r="E162" s="1" t="s">
        <v>176</v>
      </c>
      <c r="F162" s="1" t="s">
        <v>11</v>
      </c>
      <c r="G162" s="9" t="s">
        <v>781</v>
      </c>
      <c r="H162" s="1" t="s">
        <v>176</v>
      </c>
      <c r="I162" s="10">
        <f>IF(COUNTIFS($B$7:B162,B162,$D$7:D162,D162)=1,1,0)</f>
        <v>1</v>
      </c>
    </row>
    <row r="163" spans="1:9" ht="22.95" customHeight="1">
      <c r="A163" s="1" t="s">
        <v>782</v>
      </c>
      <c r="B163" s="1" t="s">
        <v>783</v>
      </c>
      <c r="C163" s="1" t="s">
        <v>784</v>
      </c>
      <c r="D163" s="1" t="s">
        <v>367</v>
      </c>
      <c r="E163" s="1" t="s">
        <v>368</v>
      </c>
      <c r="F163" s="1" t="s">
        <v>421</v>
      </c>
      <c r="G163" s="9" t="s">
        <v>785</v>
      </c>
      <c r="H163" s="1" t="s">
        <v>368</v>
      </c>
      <c r="I163" s="10">
        <f>IF(COUNTIFS($B$7:B163,B163,$D$7:D163,D163)=1,1,0)</f>
        <v>1</v>
      </c>
    </row>
    <row r="164" spans="1:9" ht="22.95" customHeight="1">
      <c r="A164" s="1" t="s">
        <v>786</v>
      </c>
      <c r="B164" s="1" t="s">
        <v>783</v>
      </c>
      <c r="C164" s="1" t="s">
        <v>784</v>
      </c>
      <c r="D164" s="1" t="s">
        <v>27</v>
      </c>
      <c r="E164" s="1" t="s">
        <v>28</v>
      </c>
      <c r="F164" s="1" t="s">
        <v>10</v>
      </c>
      <c r="G164" s="9" t="s">
        <v>426</v>
      </c>
      <c r="H164" s="1" t="s">
        <v>787</v>
      </c>
      <c r="I164" s="10">
        <f>IF(COUNTIFS($B$7:B164,B164,$D$7:D164,D164)=1,1,0)</f>
        <v>1</v>
      </c>
    </row>
    <row r="165" spans="1:9" ht="22.95" customHeight="1">
      <c r="A165" s="1" t="s">
        <v>788</v>
      </c>
      <c r="B165" s="1" t="s">
        <v>783</v>
      </c>
      <c r="C165" s="1" t="s">
        <v>784</v>
      </c>
      <c r="D165" s="1" t="s">
        <v>31</v>
      </c>
      <c r="E165" s="1" t="s">
        <v>32</v>
      </c>
      <c r="F165" s="1" t="s">
        <v>11</v>
      </c>
      <c r="G165" s="9" t="s">
        <v>461</v>
      </c>
      <c r="H165" s="1" t="s">
        <v>32</v>
      </c>
      <c r="I165" s="10">
        <f>IF(COUNTIFS($B$7:B165,B165,$D$7:D165,D165)=1,1,0)</f>
        <v>1</v>
      </c>
    </row>
    <row r="166" spans="1:9" ht="22.95" customHeight="1">
      <c r="A166" s="1" t="s">
        <v>789</v>
      </c>
      <c r="B166" s="1" t="s">
        <v>790</v>
      </c>
      <c r="C166" s="1" t="s">
        <v>791</v>
      </c>
      <c r="D166" s="1" t="s">
        <v>127</v>
      </c>
      <c r="E166" s="1" t="s">
        <v>128</v>
      </c>
      <c r="F166" s="1" t="s">
        <v>421</v>
      </c>
      <c r="G166" s="9" t="s">
        <v>792</v>
      </c>
      <c r="H166" s="1" t="s">
        <v>128</v>
      </c>
      <c r="I166" s="10">
        <f>IF(COUNTIFS($B$7:B166,B166,$D$7:D166,D166)=1,1,0)</f>
        <v>1</v>
      </c>
    </row>
    <row r="167" spans="1:9" ht="22.95" customHeight="1">
      <c r="A167" s="1" t="s">
        <v>793</v>
      </c>
      <c r="B167" s="1" t="s">
        <v>790</v>
      </c>
      <c r="C167" s="1" t="s">
        <v>791</v>
      </c>
      <c r="D167" s="1" t="s">
        <v>145</v>
      </c>
      <c r="E167" s="1" t="s">
        <v>146</v>
      </c>
      <c r="F167" s="1" t="s">
        <v>10</v>
      </c>
      <c r="G167" s="9" t="s">
        <v>794</v>
      </c>
      <c r="H167" s="1" t="s">
        <v>146</v>
      </c>
      <c r="I167" s="10">
        <f>IF(COUNTIFS($B$7:B167,B167,$D$7:D167,D167)=1,1,0)</f>
        <v>1</v>
      </c>
    </row>
    <row r="168" spans="1:9" ht="22.95" customHeight="1">
      <c r="A168" s="1" t="s">
        <v>795</v>
      </c>
      <c r="B168" s="1" t="s">
        <v>790</v>
      </c>
      <c r="C168" s="1" t="s">
        <v>791</v>
      </c>
      <c r="D168" s="1" t="s">
        <v>153</v>
      </c>
      <c r="E168" s="1" t="s">
        <v>154</v>
      </c>
      <c r="F168" s="1" t="s">
        <v>11</v>
      </c>
      <c r="G168" s="9" t="s">
        <v>796</v>
      </c>
      <c r="H168" s="1" t="s">
        <v>154</v>
      </c>
      <c r="I168" s="10">
        <f>IF(COUNTIFS($B$7:B168,B168,$D$7:D168,D168)=1,1,0)</f>
        <v>1</v>
      </c>
    </row>
    <row r="169" spans="1:9" ht="22.95" customHeight="1">
      <c r="A169" s="1" t="s">
        <v>797</v>
      </c>
      <c r="B169" s="1" t="s">
        <v>798</v>
      </c>
      <c r="C169" s="1" t="s">
        <v>799</v>
      </c>
      <c r="D169" s="1" t="s">
        <v>29</v>
      </c>
      <c r="E169" s="1" t="s">
        <v>30</v>
      </c>
      <c r="F169" s="1" t="s">
        <v>421</v>
      </c>
      <c r="G169" s="9" t="s">
        <v>422</v>
      </c>
      <c r="H169" s="1" t="s">
        <v>30</v>
      </c>
      <c r="I169" s="10">
        <f>IF(COUNTIFS($B$7:B169,B169,$D$7:D169,D169)=1,1,0)</f>
        <v>1</v>
      </c>
    </row>
    <row r="170" spans="1:9" ht="22.95" customHeight="1">
      <c r="A170" s="1" t="s">
        <v>800</v>
      </c>
      <c r="B170" s="1" t="s">
        <v>798</v>
      </c>
      <c r="C170" s="1" t="s">
        <v>799</v>
      </c>
      <c r="D170" s="1" t="s">
        <v>55</v>
      </c>
      <c r="E170" s="1" t="s">
        <v>56</v>
      </c>
      <c r="F170" s="1" t="s">
        <v>10</v>
      </c>
      <c r="G170" s="9" t="s">
        <v>508</v>
      </c>
      <c r="H170" s="1" t="s">
        <v>56</v>
      </c>
      <c r="I170" s="10">
        <f>IF(COUNTIFS($B$7:B170,B170,$D$7:D170,D170)=1,1,0)</f>
        <v>1</v>
      </c>
    </row>
    <row r="171" spans="1:9" ht="22.95" customHeight="1">
      <c r="A171" s="1" t="s">
        <v>801</v>
      </c>
      <c r="B171" s="1" t="s">
        <v>798</v>
      </c>
      <c r="C171" s="1" t="s">
        <v>799</v>
      </c>
      <c r="D171" s="1" t="s">
        <v>27</v>
      </c>
      <c r="E171" s="1" t="s">
        <v>28</v>
      </c>
      <c r="F171" s="1" t="s">
        <v>11</v>
      </c>
      <c r="G171" s="9" t="s">
        <v>426</v>
      </c>
      <c r="H171" s="1" t="s">
        <v>28</v>
      </c>
      <c r="I171" s="10">
        <f>IF(COUNTIFS($B$7:B171,B171,$D$7:D171,D171)=1,1,0)</f>
        <v>1</v>
      </c>
    </row>
    <row r="172" spans="1:9" ht="22.95" customHeight="1">
      <c r="A172" s="1" t="s">
        <v>802</v>
      </c>
      <c r="B172" s="1" t="s">
        <v>803</v>
      </c>
      <c r="C172" s="1" t="s">
        <v>804</v>
      </c>
      <c r="D172" s="1" t="s">
        <v>257</v>
      </c>
      <c r="E172" s="1" t="s">
        <v>258</v>
      </c>
      <c r="F172" s="1" t="s">
        <v>421</v>
      </c>
      <c r="G172" s="9" t="s">
        <v>805</v>
      </c>
      <c r="H172" s="1" t="s">
        <v>258</v>
      </c>
      <c r="I172" s="10">
        <f>IF(COUNTIFS($B$7:B172,B172,$D$7:D172,D172)=1,1,0)</f>
        <v>1</v>
      </c>
    </row>
    <row r="173" spans="1:9" ht="22.95" customHeight="1">
      <c r="A173" s="1" t="s">
        <v>806</v>
      </c>
      <c r="B173" s="1" t="s">
        <v>803</v>
      </c>
      <c r="C173" s="1" t="s">
        <v>804</v>
      </c>
      <c r="D173" s="1" t="s">
        <v>135</v>
      </c>
      <c r="E173" s="1" t="s">
        <v>136</v>
      </c>
      <c r="F173" s="1" t="s">
        <v>10</v>
      </c>
      <c r="G173" s="9" t="s">
        <v>807</v>
      </c>
      <c r="H173" s="1" t="s">
        <v>136</v>
      </c>
      <c r="I173" s="10">
        <f>IF(COUNTIFS($B$7:B173,B173,$D$7:D173,D173)=1,1,0)</f>
        <v>1</v>
      </c>
    </row>
    <row r="174" spans="1:9" ht="22.95" customHeight="1">
      <c r="A174" s="1" t="s">
        <v>808</v>
      </c>
      <c r="B174" s="1" t="s">
        <v>803</v>
      </c>
      <c r="C174" s="1" t="s">
        <v>804</v>
      </c>
      <c r="D174" s="1" t="s">
        <v>143</v>
      </c>
      <c r="E174" s="1" t="s">
        <v>144</v>
      </c>
      <c r="F174" s="1" t="s">
        <v>11</v>
      </c>
      <c r="G174" s="9" t="s">
        <v>809</v>
      </c>
      <c r="H174" s="1" t="s">
        <v>144</v>
      </c>
      <c r="I174" s="10">
        <f>IF(COUNTIFS($B$7:B174,B174,$D$7:D174,D174)=1,1,0)</f>
        <v>1</v>
      </c>
    </row>
    <row r="175" spans="1:9" ht="22.95" customHeight="1">
      <c r="A175" s="1" t="s">
        <v>810</v>
      </c>
      <c r="B175" s="1" t="s">
        <v>811</v>
      </c>
      <c r="C175" s="1" t="s">
        <v>812</v>
      </c>
      <c r="D175" s="1" t="s">
        <v>213</v>
      </c>
      <c r="E175" s="1" t="s">
        <v>214</v>
      </c>
      <c r="F175" s="1" t="s">
        <v>421</v>
      </c>
      <c r="G175" s="9" t="s">
        <v>813</v>
      </c>
      <c r="H175" s="1" t="s">
        <v>214</v>
      </c>
      <c r="I175" s="10">
        <f>IF(COUNTIFS($B$7:B175,B175,$D$7:D175,D175)=1,1,0)</f>
        <v>1</v>
      </c>
    </row>
    <row r="176" spans="1:9" ht="22.95" customHeight="1">
      <c r="A176" s="1" t="s">
        <v>814</v>
      </c>
      <c r="B176" s="1" t="s">
        <v>811</v>
      </c>
      <c r="C176" s="1" t="s">
        <v>812</v>
      </c>
      <c r="D176" s="1" t="s">
        <v>75</v>
      </c>
      <c r="E176" s="1" t="s">
        <v>76</v>
      </c>
      <c r="F176" s="1" t="s">
        <v>10</v>
      </c>
      <c r="G176" s="9" t="s">
        <v>623</v>
      </c>
      <c r="H176" s="1" t="s">
        <v>76</v>
      </c>
      <c r="I176" s="10">
        <f>IF(COUNTIFS($B$7:B176,B176,$D$7:D176,D176)=1,1,0)</f>
        <v>1</v>
      </c>
    </row>
    <row r="177" spans="1:9" ht="22.95" customHeight="1">
      <c r="A177" s="1" t="s">
        <v>815</v>
      </c>
      <c r="B177" s="1" t="s">
        <v>811</v>
      </c>
      <c r="C177" s="1" t="s">
        <v>812</v>
      </c>
      <c r="D177" s="1" t="s">
        <v>99</v>
      </c>
      <c r="E177" s="1" t="s">
        <v>100</v>
      </c>
      <c r="F177" s="1" t="s">
        <v>11</v>
      </c>
      <c r="G177" s="9" t="s">
        <v>816</v>
      </c>
      <c r="H177" s="1" t="s">
        <v>100</v>
      </c>
      <c r="I177" s="10">
        <f>IF(COUNTIFS($B$7:B177,B177,$D$7:D177,D177)=1,1,0)</f>
        <v>1</v>
      </c>
    </row>
    <row r="178" spans="1:9" ht="22.95" customHeight="1">
      <c r="A178" s="1" t="s">
        <v>817</v>
      </c>
      <c r="B178" s="1" t="s">
        <v>818</v>
      </c>
      <c r="C178" s="1" t="s">
        <v>819</v>
      </c>
      <c r="D178" s="1" t="s">
        <v>287</v>
      </c>
      <c r="E178" s="1" t="s">
        <v>288</v>
      </c>
      <c r="F178" s="1" t="s">
        <v>421</v>
      </c>
      <c r="G178" s="9" t="s">
        <v>820</v>
      </c>
      <c r="H178" s="1" t="s">
        <v>288</v>
      </c>
      <c r="I178" s="10">
        <f>IF(COUNTIFS($B$7:B178,B178,$D$7:D178,D178)=1,1,0)</f>
        <v>1</v>
      </c>
    </row>
    <row r="179" spans="1:9" ht="22.95" customHeight="1">
      <c r="A179" s="1" t="s">
        <v>821</v>
      </c>
      <c r="B179" s="1" t="s">
        <v>818</v>
      </c>
      <c r="C179" s="1" t="s">
        <v>819</v>
      </c>
      <c r="D179" s="1" t="s">
        <v>179</v>
      </c>
      <c r="E179" s="1" t="s">
        <v>180</v>
      </c>
      <c r="F179" s="1" t="s">
        <v>10</v>
      </c>
      <c r="G179" s="9" t="s">
        <v>822</v>
      </c>
      <c r="H179" s="1" t="s">
        <v>180</v>
      </c>
      <c r="I179" s="10">
        <f>IF(COUNTIFS($B$7:B179,B179,$D$7:D179,D179)=1,1,0)</f>
        <v>1</v>
      </c>
    </row>
    <row r="180" spans="1:9" ht="22.95" customHeight="1">
      <c r="A180" s="1" t="s">
        <v>823</v>
      </c>
      <c r="B180" s="1" t="s">
        <v>818</v>
      </c>
      <c r="C180" s="1" t="s">
        <v>819</v>
      </c>
      <c r="D180" s="1" t="s">
        <v>227</v>
      </c>
      <c r="E180" s="1" t="s">
        <v>228</v>
      </c>
      <c r="F180" s="1" t="s">
        <v>11</v>
      </c>
      <c r="G180" s="9" t="s">
        <v>824</v>
      </c>
      <c r="H180" s="1" t="s">
        <v>228</v>
      </c>
      <c r="I180" s="10">
        <f>IF(COUNTIFS($B$7:B180,B180,$D$7:D180,D180)=1,1,0)</f>
        <v>1</v>
      </c>
    </row>
    <row r="181" spans="1:9" ht="22.95" customHeight="1">
      <c r="A181" s="1" t="s">
        <v>825</v>
      </c>
      <c r="B181" s="1" t="s">
        <v>826</v>
      </c>
      <c r="C181" s="1" t="s">
        <v>827</v>
      </c>
      <c r="D181" s="1" t="s">
        <v>297</v>
      </c>
      <c r="E181" s="1" t="s">
        <v>298</v>
      </c>
      <c r="F181" s="1" t="s">
        <v>421</v>
      </c>
      <c r="G181" s="9" t="s">
        <v>828</v>
      </c>
      <c r="H181" s="1" t="s">
        <v>298</v>
      </c>
      <c r="I181" s="10">
        <f>IF(COUNTIFS($B$7:B181,B181,$D$7:D181,D181)=1,1,0)</f>
        <v>1</v>
      </c>
    </row>
    <row r="182" spans="1:9" ht="22.95" customHeight="1">
      <c r="A182" s="1" t="s">
        <v>829</v>
      </c>
      <c r="B182" s="1" t="s">
        <v>826</v>
      </c>
      <c r="C182" s="1" t="s">
        <v>827</v>
      </c>
      <c r="D182" s="1" t="s">
        <v>229</v>
      </c>
      <c r="E182" s="1" t="s">
        <v>230</v>
      </c>
      <c r="F182" s="1" t="s">
        <v>10</v>
      </c>
      <c r="G182" s="9" t="s">
        <v>830</v>
      </c>
      <c r="H182" s="1" t="s">
        <v>230</v>
      </c>
      <c r="I182" s="10">
        <f>IF(COUNTIFS($B$7:B182,B182,$D$7:D182,D182)=1,1,0)</f>
        <v>1</v>
      </c>
    </row>
    <row r="183" spans="1:9" ht="22.95" customHeight="1">
      <c r="A183" s="1" t="s">
        <v>831</v>
      </c>
      <c r="B183" s="1" t="s">
        <v>826</v>
      </c>
      <c r="C183" s="1" t="s">
        <v>827</v>
      </c>
      <c r="D183" s="1" t="s">
        <v>265</v>
      </c>
      <c r="E183" s="1" t="s">
        <v>266</v>
      </c>
      <c r="F183" s="1" t="s">
        <v>11</v>
      </c>
      <c r="G183" s="9" t="s">
        <v>832</v>
      </c>
      <c r="H183" s="1" t="s">
        <v>266</v>
      </c>
      <c r="I183" s="10">
        <f>IF(COUNTIFS($B$7:B183,B183,$D$7:D183,D183)=1,1,0)</f>
        <v>1</v>
      </c>
    </row>
    <row r="184" spans="1:9" ht="22.95" customHeight="1">
      <c r="A184" s="1" t="s">
        <v>833</v>
      </c>
      <c r="B184" s="1" t="s">
        <v>834</v>
      </c>
      <c r="C184" s="1" t="s">
        <v>835</v>
      </c>
      <c r="D184" s="1" t="s">
        <v>369</v>
      </c>
      <c r="E184" s="1" t="s">
        <v>370</v>
      </c>
      <c r="F184" s="1" t="s">
        <v>421</v>
      </c>
      <c r="G184" s="9" t="s">
        <v>836</v>
      </c>
      <c r="H184" s="1" t="s">
        <v>370</v>
      </c>
      <c r="I184" s="10">
        <f>IF(COUNTIFS($B$7:B184,B184,$D$7:D184,D184)=1,1,0)</f>
        <v>1</v>
      </c>
    </row>
    <row r="185" spans="1:9" ht="22.95" customHeight="1">
      <c r="A185" s="1" t="s">
        <v>837</v>
      </c>
      <c r="B185" s="1" t="s">
        <v>834</v>
      </c>
      <c r="C185" s="1" t="s">
        <v>835</v>
      </c>
      <c r="D185" s="1" t="s">
        <v>147</v>
      </c>
      <c r="E185" s="1" t="s">
        <v>148</v>
      </c>
      <c r="F185" s="1" t="s">
        <v>10</v>
      </c>
      <c r="G185" s="9" t="s">
        <v>838</v>
      </c>
      <c r="H185" s="1" t="s">
        <v>148</v>
      </c>
      <c r="I185" s="10">
        <f>IF(COUNTIFS($B$7:B185,B185,$D$7:D185,D185)=1,1,0)</f>
        <v>1</v>
      </c>
    </row>
    <row r="186" spans="1:9" ht="22.95" customHeight="1">
      <c r="A186" s="1" t="s">
        <v>839</v>
      </c>
      <c r="B186" s="1" t="s">
        <v>834</v>
      </c>
      <c r="C186" s="1" t="s">
        <v>835</v>
      </c>
      <c r="D186" s="1" t="s">
        <v>151</v>
      </c>
      <c r="E186" s="1" t="s">
        <v>152</v>
      </c>
      <c r="F186" s="1" t="s">
        <v>11</v>
      </c>
      <c r="G186" s="9" t="s">
        <v>840</v>
      </c>
      <c r="H186" s="1" t="s">
        <v>152</v>
      </c>
      <c r="I186" s="10">
        <f>IF(COUNTIFS($B$7:B186,B186,$D$7:D186,D186)=1,1,0)</f>
        <v>1</v>
      </c>
    </row>
    <row r="187" spans="1:9" ht="22.95" customHeight="1">
      <c r="A187" s="1" t="s">
        <v>841</v>
      </c>
      <c r="B187" s="1" t="s">
        <v>842</v>
      </c>
      <c r="C187" s="1" t="s">
        <v>843</v>
      </c>
      <c r="D187" s="1" t="s">
        <v>199</v>
      </c>
      <c r="E187" s="1" t="s">
        <v>200</v>
      </c>
      <c r="F187" s="1" t="s">
        <v>421</v>
      </c>
      <c r="G187" s="9" t="s">
        <v>844</v>
      </c>
      <c r="H187" s="1" t="s">
        <v>200</v>
      </c>
      <c r="I187" s="10">
        <f>IF(COUNTIFS($B$7:B187,B187,$D$7:D187,D187)=1,1,0)</f>
        <v>1</v>
      </c>
    </row>
    <row r="188" spans="1:9" ht="22.95" customHeight="1">
      <c r="A188" s="1" t="s">
        <v>845</v>
      </c>
      <c r="B188" s="1" t="s">
        <v>842</v>
      </c>
      <c r="C188" s="1" t="s">
        <v>843</v>
      </c>
      <c r="D188" s="1" t="s">
        <v>27</v>
      </c>
      <c r="E188" s="1" t="s">
        <v>28</v>
      </c>
      <c r="F188" s="1" t="s">
        <v>10</v>
      </c>
      <c r="G188" s="9" t="s">
        <v>426</v>
      </c>
      <c r="H188" s="1" t="s">
        <v>28</v>
      </c>
      <c r="I188" s="10">
        <f>IF(COUNTIFS($B$7:B188,B188,$D$7:D188,D188)=1,1,0)</f>
        <v>1</v>
      </c>
    </row>
    <row r="189" spans="1:9" ht="22.95" customHeight="1">
      <c r="A189" s="1" t="s">
        <v>846</v>
      </c>
      <c r="B189" s="1" t="s">
        <v>842</v>
      </c>
      <c r="C189" s="1" t="s">
        <v>843</v>
      </c>
      <c r="D189" s="1" t="s">
        <v>29</v>
      </c>
      <c r="E189" s="1" t="s">
        <v>30</v>
      </c>
      <c r="F189" s="1" t="s">
        <v>11</v>
      </c>
      <c r="G189" s="9" t="s">
        <v>518</v>
      </c>
      <c r="H189" s="1" t="s">
        <v>30</v>
      </c>
      <c r="I189" s="10">
        <f>IF(COUNTIFS($B$7:B189,B189,$D$7:D189,D189)=1,1,0)</f>
        <v>1</v>
      </c>
    </row>
    <row r="190" spans="1:9" ht="22.95" customHeight="1">
      <c r="A190" s="1" t="s">
        <v>847</v>
      </c>
      <c r="B190" s="1" t="s">
        <v>848</v>
      </c>
      <c r="C190" s="1" t="s">
        <v>849</v>
      </c>
      <c r="D190" s="1" t="s">
        <v>343</v>
      </c>
      <c r="E190" s="1" t="s">
        <v>344</v>
      </c>
      <c r="F190" s="1" t="s">
        <v>421</v>
      </c>
      <c r="G190" s="9" t="s">
        <v>850</v>
      </c>
      <c r="H190" s="1" t="s">
        <v>344</v>
      </c>
      <c r="I190" s="10">
        <f>IF(COUNTIFS($B$7:B190,B190,$D$7:D190,D190)=1,1,0)</f>
        <v>1</v>
      </c>
    </row>
    <row r="191" spans="1:9" ht="22.95" customHeight="1">
      <c r="A191" s="1" t="s">
        <v>851</v>
      </c>
      <c r="B191" s="1" t="s">
        <v>848</v>
      </c>
      <c r="C191" s="1" t="s">
        <v>849</v>
      </c>
      <c r="D191" s="1" t="s">
        <v>173</v>
      </c>
      <c r="E191" s="1" t="s">
        <v>174</v>
      </c>
      <c r="F191" s="1" t="s">
        <v>10</v>
      </c>
      <c r="G191" s="9" t="s">
        <v>852</v>
      </c>
      <c r="H191" s="1" t="s">
        <v>174</v>
      </c>
      <c r="I191" s="10">
        <f>IF(COUNTIFS($B$7:B191,B191,$D$7:D191,D191)=1,1,0)</f>
        <v>1</v>
      </c>
    </row>
    <row r="192" spans="1:9" ht="22.95" customHeight="1">
      <c r="A192" s="1" t="s">
        <v>853</v>
      </c>
      <c r="B192" s="1" t="s">
        <v>848</v>
      </c>
      <c r="C192" s="1" t="s">
        <v>849</v>
      </c>
      <c r="D192" s="1" t="s">
        <v>223</v>
      </c>
      <c r="E192" s="1" t="s">
        <v>224</v>
      </c>
      <c r="F192" s="1" t="s">
        <v>11</v>
      </c>
      <c r="G192" s="9" t="s">
        <v>854</v>
      </c>
      <c r="H192" s="1" t="s">
        <v>224</v>
      </c>
      <c r="I192" s="10">
        <f>IF(COUNTIFS($B$7:B192,B192,$D$7:D192,D192)=1,1,0)</f>
        <v>1</v>
      </c>
    </row>
    <row r="193" spans="1:9" ht="22.95" customHeight="1">
      <c r="A193" s="1" t="s">
        <v>855</v>
      </c>
      <c r="B193" s="1" t="s">
        <v>856</v>
      </c>
      <c r="C193" s="1" t="s">
        <v>857</v>
      </c>
      <c r="D193" s="1" t="s">
        <v>353</v>
      </c>
      <c r="E193" s="1" t="s">
        <v>354</v>
      </c>
      <c r="F193" s="1" t="s">
        <v>421</v>
      </c>
      <c r="G193" s="9" t="s">
        <v>858</v>
      </c>
      <c r="H193" s="1" t="s">
        <v>354</v>
      </c>
      <c r="I193" s="10">
        <f>IF(COUNTIFS($B$7:B193,B193,$D$7:D193,D193)=1,1,0)</f>
        <v>1</v>
      </c>
    </row>
    <row r="194" spans="1:9" ht="22.95" customHeight="1">
      <c r="A194" s="1" t="s">
        <v>859</v>
      </c>
      <c r="B194" s="1" t="s">
        <v>856</v>
      </c>
      <c r="C194" s="1" t="s">
        <v>857</v>
      </c>
      <c r="D194" s="1" t="s">
        <v>27</v>
      </c>
      <c r="E194" s="1" t="s">
        <v>28</v>
      </c>
      <c r="F194" s="1" t="s">
        <v>10</v>
      </c>
      <c r="G194" s="9" t="s">
        <v>426</v>
      </c>
      <c r="H194" s="1" t="s">
        <v>28</v>
      </c>
      <c r="I194" s="10">
        <f>IF(COUNTIFS($B$7:B194,B194,$D$7:D194,D194)=1,1,0)</f>
        <v>1</v>
      </c>
    </row>
    <row r="195" spans="1:9" ht="22.95" customHeight="1">
      <c r="A195" s="1" t="s">
        <v>860</v>
      </c>
      <c r="B195" s="1" t="s">
        <v>856</v>
      </c>
      <c r="C195" s="1" t="s">
        <v>857</v>
      </c>
      <c r="D195" s="1" t="s">
        <v>29</v>
      </c>
      <c r="E195" s="1" t="s">
        <v>30</v>
      </c>
      <c r="F195" s="1" t="s">
        <v>11</v>
      </c>
      <c r="G195" s="9" t="s">
        <v>518</v>
      </c>
      <c r="H195" s="1" t="s">
        <v>30</v>
      </c>
      <c r="I195" s="10">
        <f>IF(COUNTIFS($B$7:B195,B195,$D$7:D195,D195)=1,1,0)</f>
        <v>1</v>
      </c>
    </row>
    <row r="196" spans="1:9" ht="22.95" customHeight="1">
      <c r="A196" s="1" t="s">
        <v>861</v>
      </c>
      <c r="B196" s="1" t="s">
        <v>862</v>
      </c>
      <c r="C196" s="1" t="s">
        <v>863</v>
      </c>
      <c r="D196" s="1" t="s">
        <v>41</v>
      </c>
      <c r="E196" s="1" t="s">
        <v>42</v>
      </c>
      <c r="F196" s="1" t="s">
        <v>421</v>
      </c>
      <c r="G196" s="9" t="s">
        <v>864</v>
      </c>
      <c r="H196" s="1" t="s">
        <v>42</v>
      </c>
      <c r="I196" s="10">
        <f>IF(COUNTIFS($B$7:B196,B196,$D$7:D196,D196)=1,1,0)</f>
        <v>1</v>
      </c>
    </row>
    <row r="197" spans="1:9" ht="22.95" customHeight="1">
      <c r="A197" s="1" t="s">
        <v>865</v>
      </c>
      <c r="B197" s="1" t="s">
        <v>862</v>
      </c>
      <c r="C197" s="1" t="s">
        <v>863</v>
      </c>
      <c r="D197" s="1" t="s">
        <v>133</v>
      </c>
      <c r="E197" s="1" t="s">
        <v>134</v>
      </c>
      <c r="F197" s="1" t="s">
        <v>10</v>
      </c>
      <c r="G197" s="9" t="s">
        <v>866</v>
      </c>
      <c r="H197" s="1" t="s">
        <v>134</v>
      </c>
      <c r="I197" s="10">
        <f>IF(COUNTIFS($B$7:B197,B197,$D$7:D197,D197)=1,1,0)</f>
        <v>1</v>
      </c>
    </row>
    <row r="198" spans="1:9" ht="22.95" customHeight="1">
      <c r="A198" s="1" t="s">
        <v>867</v>
      </c>
      <c r="B198" s="1" t="s">
        <v>862</v>
      </c>
      <c r="C198" s="1" t="s">
        <v>863</v>
      </c>
      <c r="D198" s="1" t="s">
        <v>27</v>
      </c>
      <c r="E198" s="1" t="s">
        <v>28</v>
      </c>
      <c r="F198" s="1" t="s">
        <v>11</v>
      </c>
      <c r="G198" s="9" t="s">
        <v>426</v>
      </c>
      <c r="H198" s="1" t="s">
        <v>28</v>
      </c>
      <c r="I198" s="10">
        <f>IF(COUNTIFS($B$7:B198,B198,$D$7:D198,D198)=1,1,0)</f>
        <v>1</v>
      </c>
    </row>
    <row r="199" spans="1:9" ht="22.95" customHeight="1">
      <c r="A199" s="1" t="s">
        <v>868</v>
      </c>
      <c r="B199" s="1" t="s">
        <v>869</v>
      </c>
      <c r="C199" s="1" t="s">
        <v>870</v>
      </c>
      <c r="D199" s="1" t="s">
        <v>57</v>
      </c>
      <c r="E199" s="1" t="s">
        <v>58</v>
      </c>
      <c r="F199" s="1" t="s">
        <v>421</v>
      </c>
      <c r="G199" s="9" t="s">
        <v>871</v>
      </c>
      <c r="H199" s="1" t="s">
        <v>58</v>
      </c>
      <c r="I199" s="10">
        <f>IF(COUNTIFS($B$7:B199,B199,$D$7:D199,D199)=1,1,0)</f>
        <v>1</v>
      </c>
    </row>
    <row r="200" spans="1:9" ht="22.95" customHeight="1">
      <c r="A200" s="1" t="s">
        <v>872</v>
      </c>
      <c r="B200" s="1" t="s">
        <v>869</v>
      </c>
      <c r="C200" s="1" t="s">
        <v>870</v>
      </c>
      <c r="D200" s="1" t="s">
        <v>283</v>
      </c>
      <c r="E200" s="1" t="s">
        <v>284</v>
      </c>
      <c r="F200" s="1" t="s">
        <v>10</v>
      </c>
      <c r="G200" s="9" t="s">
        <v>873</v>
      </c>
      <c r="H200" s="1" t="s">
        <v>284</v>
      </c>
      <c r="I200" s="10">
        <f>IF(COUNTIFS($B$7:B200,B200,$D$7:D200,D200)=1,1,0)</f>
        <v>1</v>
      </c>
    </row>
    <row r="201" spans="1:9" ht="22.95" customHeight="1">
      <c r="A201" s="1" t="s">
        <v>874</v>
      </c>
      <c r="B201" s="1" t="s">
        <v>869</v>
      </c>
      <c r="C201" s="1" t="s">
        <v>870</v>
      </c>
      <c r="D201" s="1" t="s">
        <v>351</v>
      </c>
      <c r="E201" s="1" t="s">
        <v>352</v>
      </c>
      <c r="F201" s="1" t="s">
        <v>11</v>
      </c>
      <c r="G201" s="9" t="s">
        <v>875</v>
      </c>
      <c r="H201" s="1" t="s">
        <v>352</v>
      </c>
      <c r="I201" s="10">
        <f>IF(COUNTIFS($B$7:B201,B201,$D$7:D201,D201)=1,1,0)</f>
        <v>1</v>
      </c>
    </row>
    <row r="202" spans="1:9" ht="22.95" customHeight="1">
      <c r="A202" s="1" t="s">
        <v>876</v>
      </c>
      <c r="B202" s="1" t="s">
        <v>877</v>
      </c>
      <c r="C202" s="1" t="s">
        <v>878</v>
      </c>
      <c r="D202" s="1" t="s">
        <v>401</v>
      </c>
      <c r="E202" s="1" t="s">
        <v>402</v>
      </c>
      <c r="F202" s="1" t="s">
        <v>421</v>
      </c>
      <c r="G202" s="9" t="s">
        <v>879</v>
      </c>
      <c r="H202" s="1" t="s">
        <v>402</v>
      </c>
      <c r="I202" s="10">
        <f>IF(COUNTIFS($B$7:B202,B202,$D$7:D202,D202)=1,1,0)</f>
        <v>1</v>
      </c>
    </row>
    <row r="203" spans="1:9" ht="22.95" customHeight="1">
      <c r="A203" s="1" t="s">
        <v>880</v>
      </c>
      <c r="B203" s="1" t="s">
        <v>877</v>
      </c>
      <c r="C203" s="1" t="s">
        <v>878</v>
      </c>
      <c r="D203" s="1" t="s">
        <v>27</v>
      </c>
      <c r="E203" s="1" t="s">
        <v>28</v>
      </c>
      <c r="F203" s="1" t="s">
        <v>10</v>
      </c>
      <c r="G203" s="9" t="s">
        <v>426</v>
      </c>
      <c r="H203" s="1" t="s">
        <v>28</v>
      </c>
      <c r="I203" s="10">
        <f>IF(COUNTIFS($B$7:B203,B203,$D$7:D203,D203)=1,1,0)</f>
        <v>1</v>
      </c>
    </row>
    <row r="204" spans="1:9" ht="22.95" customHeight="1">
      <c r="A204" s="1" t="s">
        <v>881</v>
      </c>
      <c r="B204" s="1" t="s">
        <v>877</v>
      </c>
      <c r="C204" s="1" t="s">
        <v>878</v>
      </c>
      <c r="D204" s="1" t="s">
        <v>169</v>
      </c>
      <c r="E204" s="1" t="s">
        <v>170</v>
      </c>
      <c r="F204" s="1" t="s">
        <v>11</v>
      </c>
      <c r="G204" s="9" t="s">
        <v>882</v>
      </c>
      <c r="H204" s="1" t="s">
        <v>170</v>
      </c>
      <c r="I204" s="10">
        <f>IF(COUNTIFS($B$7:B204,B204,$D$7:D204,D204)=1,1,0)</f>
        <v>1</v>
      </c>
    </row>
    <row r="205" spans="1:9" ht="22.95" customHeight="1">
      <c r="A205" s="1" t="s">
        <v>883</v>
      </c>
      <c r="B205" s="1" t="s">
        <v>884</v>
      </c>
      <c r="C205" s="1" t="s">
        <v>885</v>
      </c>
      <c r="D205" s="1" t="s">
        <v>207</v>
      </c>
      <c r="E205" s="1" t="s">
        <v>208</v>
      </c>
      <c r="F205" s="1" t="s">
        <v>421</v>
      </c>
      <c r="G205" s="9" t="s">
        <v>886</v>
      </c>
      <c r="H205" s="1" t="s">
        <v>208</v>
      </c>
      <c r="I205" s="10">
        <f>IF(COUNTIFS($B$7:B205,B205,$D$7:D205,D205)=1,1,0)</f>
        <v>1</v>
      </c>
    </row>
    <row r="206" spans="1:9" ht="22.95" customHeight="1">
      <c r="A206" s="1" t="s">
        <v>887</v>
      </c>
      <c r="B206" s="1" t="s">
        <v>884</v>
      </c>
      <c r="C206" s="1" t="s">
        <v>885</v>
      </c>
      <c r="D206" s="1" t="s">
        <v>261</v>
      </c>
      <c r="E206" s="1" t="s">
        <v>262</v>
      </c>
      <c r="F206" s="1" t="s">
        <v>10</v>
      </c>
      <c r="G206" s="9" t="s">
        <v>888</v>
      </c>
      <c r="H206" s="1" t="s">
        <v>262</v>
      </c>
      <c r="I206" s="10">
        <f>IF(COUNTIFS($B$7:B206,B206,$D$7:D206,D206)=1,1,0)</f>
        <v>1</v>
      </c>
    </row>
    <row r="207" spans="1:9" ht="22.95" customHeight="1">
      <c r="A207" s="1" t="s">
        <v>889</v>
      </c>
      <c r="B207" s="1" t="s">
        <v>884</v>
      </c>
      <c r="C207" s="1" t="s">
        <v>885</v>
      </c>
      <c r="D207" s="1" t="s">
        <v>27</v>
      </c>
      <c r="E207" s="1" t="s">
        <v>28</v>
      </c>
      <c r="F207" s="1" t="s">
        <v>11</v>
      </c>
      <c r="G207" s="9" t="s">
        <v>426</v>
      </c>
      <c r="H207" s="1" t="s">
        <v>28</v>
      </c>
      <c r="I207" s="10">
        <f>IF(COUNTIFS($B$7:B207,B207,$D$7:D207,D207)=1,1,0)</f>
        <v>1</v>
      </c>
    </row>
    <row r="208" spans="1:9" ht="22.95" customHeight="1">
      <c r="A208" s="1" t="s">
        <v>890</v>
      </c>
      <c r="B208" s="1" t="s">
        <v>891</v>
      </c>
      <c r="C208" s="1" t="s">
        <v>892</v>
      </c>
      <c r="D208" s="1" t="s">
        <v>85</v>
      </c>
      <c r="E208" s="1" t="s">
        <v>86</v>
      </c>
      <c r="F208" s="1" t="s">
        <v>421</v>
      </c>
      <c r="G208" s="9" t="s">
        <v>893</v>
      </c>
      <c r="H208" s="1" t="s">
        <v>86</v>
      </c>
      <c r="I208" s="10">
        <f>IF(COUNTIFS($B$7:B208,B208,$D$7:D208,D208)=1,1,0)</f>
        <v>1</v>
      </c>
    </row>
    <row r="209" spans="1:9" ht="22.95" customHeight="1">
      <c r="A209" s="1" t="s">
        <v>894</v>
      </c>
      <c r="B209" s="1" t="s">
        <v>891</v>
      </c>
      <c r="C209" s="1" t="s">
        <v>892</v>
      </c>
      <c r="D209" s="1" t="s">
        <v>27</v>
      </c>
      <c r="E209" s="1" t="s">
        <v>28</v>
      </c>
      <c r="F209" s="1" t="s">
        <v>10</v>
      </c>
      <c r="G209" s="9" t="s">
        <v>426</v>
      </c>
      <c r="H209" s="1" t="s">
        <v>28</v>
      </c>
      <c r="I209" s="10">
        <f>IF(COUNTIFS($B$7:B209,B209,$D$7:D209,D209)=1,1,0)</f>
        <v>1</v>
      </c>
    </row>
    <row r="210" spans="1:9" ht="22.95" customHeight="1">
      <c r="A210" s="1" t="s">
        <v>895</v>
      </c>
      <c r="B210" s="1" t="s">
        <v>891</v>
      </c>
      <c r="C210" s="1" t="s">
        <v>892</v>
      </c>
      <c r="D210" s="1" t="s">
        <v>357</v>
      </c>
      <c r="E210" s="1" t="s">
        <v>358</v>
      </c>
      <c r="F210" s="1" t="s">
        <v>11</v>
      </c>
      <c r="G210" s="9" t="s">
        <v>896</v>
      </c>
      <c r="H210" s="1" t="s">
        <v>358</v>
      </c>
      <c r="I210" s="10">
        <f>IF(COUNTIFS($B$7:B210,B210,$D$7:D210,D210)=1,1,0)</f>
        <v>1</v>
      </c>
    </row>
    <row r="211" spans="1:9" ht="22.95" customHeight="1">
      <c r="A211" s="1" t="s">
        <v>897</v>
      </c>
      <c r="B211" s="1" t="s">
        <v>898</v>
      </c>
      <c r="C211" s="1" t="s">
        <v>899</v>
      </c>
      <c r="D211" s="1" t="s">
        <v>67</v>
      </c>
      <c r="E211" s="1" t="s">
        <v>68</v>
      </c>
      <c r="F211" s="1" t="s">
        <v>421</v>
      </c>
      <c r="G211" s="9" t="s">
        <v>900</v>
      </c>
      <c r="H211" s="1" t="s">
        <v>68</v>
      </c>
      <c r="I211" s="10">
        <f>IF(COUNTIFS($B$7:B211,B211,$D$7:D211,D211)=1,1,0)</f>
        <v>1</v>
      </c>
    </row>
    <row r="212" spans="1:9" ht="22.95" customHeight="1">
      <c r="A212" s="1" t="s">
        <v>901</v>
      </c>
      <c r="B212" s="1" t="s">
        <v>898</v>
      </c>
      <c r="C212" s="1" t="s">
        <v>899</v>
      </c>
      <c r="D212" s="1" t="s">
        <v>209</v>
      </c>
      <c r="E212" s="1" t="s">
        <v>210</v>
      </c>
      <c r="F212" s="1" t="s">
        <v>10</v>
      </c>
      <c r="G212" s="9" t="s">
        <v>902</v>
      </c>
      <c r="H212" s="1" t="s">
        <v>210</v>
      </c>
      <c r="I212" s="10">
        <f>IF(COUNTIFS($B$7:B212,B212,$D$7:D212,D212)=1,1,0)</f>
        <v>1</v>
      </c>
    </row>
    <row r="213" spans="1:9" ht="22.95" customHeight="1">
      <c r="A213" s="1" t="s">
        <v>903</v>
      </c>
      <c r="B213" s="1" t="s">
        <v>898</v>
      </c>
      <c r="C213" s="1" t="s">
        <v>899</v>
      </c>
      <c r="D213" s="1" t="s">
        <v>333</v>
      </c>
      <c r="E213" s="1" t="s">
        <v>334</v>
      </c>
      <c r="F213" s="1" t="s">
        <v>11</v>
      </c>
      <c r="G213" s="9" t="s">
        <v>904</v>
      </c>
      <c r="H213" s="1" t="s">
        <v>334</v>
      </c>
      <c r="I213" s="10">
        <f>IF(COUNTIFS($B$7:B213,B213,$D$7:D213,D213)=1,1,0)</f>
        <v>1</v>
      </c>
    </row>
    <row r="214" spans="1:9" ht="22.95" customHeight="1">
      <c r="A214" s="1" t="s">
        <v>905</v>
      </c>
      <c r="B214" s="1" t="s">
        <v>906</v>
      </c>
      <c r="C214" s="1" t="s">
        <v>907</v>
      </c>
      <c r="D214" s="1" t="s">
        <v>383</v>
      </c>
      <c r="E214" s="1" t="s">
        <v>384</v>
      </c>
      <c r="F214" s="1" t="s">
        <v>421</v>
      </c>
      <c r="G214" s="9" t="s">
        <v>908</v>
      </c>
      <c r="H214" s="1" t="s">
        <v>384</v>
      </c>
      <c r="I214" s="10">
        <f>IF(COUNTIFS($B$7:B214,B214,$D$7:D214,D214)=1,1,0)</f>
        <v>1</v>
      </c>
    </row>
    <row r="215" spans="1:9" ht="22.95" customHeight="1">
      <c r="A215" s="1" t="s">
        <v>909</v>
      </c>
      <c r="B215" s="1" t="s">
        <v>906</v>
      </c>
      <c r="C215" s="1" t="s">
        <v>907</v>
      </c>
      <c r="D215" s="1" t="s">
        <v>171</v>
      </c>
      <c r="E215" s="1" t="s">
        <v>172</v>
      </c>
      <c r="F215" s="1" t="s">
        <v>10</v>
      </c>
      <c r="G215" s="9" t="s">
        <v>910</v>
      </c>
      <c r="H215" s="1" t="s">
        <v>172</v>
      </c>
      <c r="I215" s="10">
        <f>IF(COUNTIFS($B$7:B215,B215,$D$7:D215,D215)=1,1,0)</f>
        <v>1</v>
      </c>
    </row>
    <row r="216" spans="1:9" ht="22.95" customHeight="1">
      <c r="A216" s="1" t="s">
        <v>911</v>
      </c>
      <c r="B216" s="1" t="s">
        <v>906</v>
      </c>
      <c r="C216" s="1" t="s">
        <v>907</v>
      </c>
      <c r="D216" s="1" t="s">
        <v>43</v>
      </c>
      <c r="E216" s="1" t="s">
        <v>44</v>
      </c>
      <c r="F216" s="1" t="s">
        <v>11</v>
      </c>
      <c r="G216" s="9" t="s">
        <v>638</v>
      </c>
      <c r="H216" s="1" t="s">
        <v>44</v>
      </c>
      <c r="I216" s="10">
        <f>IF(COUNTIFS($B$7:B216,B216,$D$7:D216,D216)=1,1,0)</f>
        <v>1</v>
      </c>
    </row>
    <row r="217" spans="1:9" ht="22.95" customHeight="1">
      <c r="A217" s="1" t="s">
        <v>912</v>
      </c>
      <c r="B217" s="1" t="s">
        <v>913</v>
      </c>
      <c r="C217" s="1" t="s">
        <v>914</v>
      </c>
      <c r="D217" s="1" t="s">
        <v>43</v>
      </c>
      <c r="E217" s="1" t="s">
        <v>44</v>
      </c>
      <c r="F217" s="1" t="s">
        <v>421</v>
      </c>
      <c r="G217" s="9" t="s">
        <v>638</v>
      </c>
      <c r="H217" s="1" t="s">
        <v>44</v>
      </c>
      <c r="I217" s="10">
        <f>IF(COUNTIFS($B$7:B217,B217,$D$7:D217,D217)=1,1,0)</f>
        <v>1</v>
      </c>
    </row>
    <row r="218" spans="1:9" ht="22.95" customHeight="1">
      <c r="A218" s="1" t="s">
        <v>915</v>
      </c>
      <c r="B218" s="1" t="s">
        <v>913</v>
      </c>
      <c r="C218" s="1" t="s">
        <v>914</v>
      </c>
      <c r="D218" s="1" t="s">
        <v>109</v>
      </c>
      <c r="E218" s="1" t="s">
        <v>110</v>
      </c>
      <c r="F218" s="1" t="s">
        <v>10</v>
      </c>
      <c r="G218" s="9" t="s">
        <v>916</v>
      </c>
      <c r="H218" s="1" t="s">
        <v>110</v>
      </c>
      <c r="I218" s="10">
        <f>IF(COUNTIFS($B$7:B218,B218,$D$7:D218,D218)=1,1,0)</f>
        <v>1</v>
      </c>
    </row>
    <row r="219" spans="1:9" ht="22.95" customHeight="1">
      <c r="A219" s="1" t="s">
        <v>917</v>
      </c>
      <c r="B219" s="1" t="s">
        <v>913</v>
      </c>
      <c r="C219" s="1" t="s">
        <v>914</v>
      </c>
      <c r="D219" s="1" t="s">
        <v>219</v>
      </c>
      <c r="E219" s="1" t="s">
        <v>220</v>
      </c>
      <c r="F219" s="1" t="s">
        <v>11</v>
      </c>
      <c r="G219" s="9" t="s">
        <v>918</v>
      </c>
      <c r="H219" s="1" t="s">
        <v>220</v>
      </c>
      <c r="I219" s="10">
        <f>IF(COUNTIFS($B$7:B219,B219,$D$7:D219,D219)=1,1,0)</f>
        <v>1</v>
      </c>
    </row>
    <row r="220" spans="1:9" ht="22.95" customHeight="1">
      <c r="A220" s="1" t="s">
        <v>919</v>
      </c>
      <c r="B220" s="1" t="s">
        <v>920</v>
      </c>
      <c r="C220" s="1" t="s">
        <v>921</v>
      </c>
      <c r="D220" s="1" t="s">
        <v>253</v>
      </c>
      <c r="E220" s="1" t="s">
        <v>254</v>
      </c>
      <c r="F220" s="1" t="s">
        <v>421</v>
      </c>
      <c r="G220" s="9" t="s">
        <v>922</v>
      </c>
      <c r="H220" s="1" t="s">
        <v>254</v>
      </c>
      <c r="I220" s="10">
        <f>IF(COUNTIFS($B$7:B220,B220,$D$7:D220,D220)=1,1,0)</f>
        <v>1</v>
      </c>
    </row>
    <row r="221" spans="1:9" ht="22.95" customHeight="1">
      <c r="A221" s="1" t="s">
        <v>923</v>
      </c>
      <c r="B221" s="1" t="s">
        <v>920</v>
      </c>
      <c r="C221" s="1" t="s">
        <v>921</v>
      </c>
      <c r="D221" s="1" t="s">
        <v>271</v>
      </c>
      <c r="E221" s="1" t="s">
        <v>272</v>
      </c>
      <c r="F221" s="1" t="s">
        <v>10</v>
      </c>
      <c r="G221" s="9" t="s">
        <v>924</v>
      </c>
      <c r="H221" s="1" t="s">
        <v>272</v>
      </c>
      <c r="I221" s="10">
        <f>IF(COUNTIFS($B$7:B221,B221,$D$7:D221,D221)=1,1,0)</f>
        <v>1</v>
      </c>
    </row>
    <row r="222" spans="1:9" ht="22.95" customHeight="1">
      <c r="A222" s="1" t="s">
        <v>925</v>
      </c>
      <c r="B222" s="1" t="s">
        <v>920</v>
      </c>
      <c r="C222" s="1" t="s">
        <v>921</v>
      </c>
      <c r="D222" s="1" t="s">
        <v>125</v>
      </c>
      <c r="E222" s="1" t="s">
        <v>126</v>
      </c>
      <c r="F222" s="1" t="s">
        <v>11</v>
      </c>
      <c r="G222" s="9" t="s">
        <v>926</v>
      </c>
      <c r="H222" s="1" t="s">
        <v>126</v>
      </c>
      <c r="I222" s="10">
        <f>IF(COUNTIFS($B$7:B222,B222,$D$7:D222,D222)=1,1,0)</f>
        <v>1</v>
      </c>
    </row>
    <row r="223" spans="1:9" ht="22.95" customHeight="1">
      <c r="A223" s="1" t="s">
        <v>927</v>
      </c>
      <c r="B223" s="1" t="s">
        <v>928</v>
      </c>
      <c r="C223" s="1" t="s">
        <v>929</v>
      </c>
      <c r="D223" s="1" t="s">
        <v>231</v>
      </c>
      <c r="E223" s="1" t="s">
        <v>232</v>
      </c>
      <c r="F223" s="1" t="s">
        <v>421</v>
      </c>
      <c r="G223" s="9" t="s">
        <v>930</v>
      </c>
      <c r="H223" s="1" t="s">
        <v>232</v>
      </c>
      <c r="I223" s="10">
        <f>IF(COUNTIFS($B$7:B223,B223,$D$7:D223,D223)=1,1,0)</f>
        <v>1</v>
      </c>
    </row>
    <row r="224" spans="1:9" ht="22.95" customHeight="1">
      <c r="A224" s="1" t="s">
        <v>931</v>
      </c>
      <c r="B224" s="1" t="s">
        <v>928</v>
      </c>
      <c r="C224" s="1" t="s">
        <v>929</v>
      </c>
      <c r="D224" s="1" t="s">
        <v>117</v>
      </c>
      <c r="E224" s="1" t="s">
        <v>118</v>
      </c>
      <c r="F224" s="1" t="s">
        <v>10</v>
      </c>
      <c r="G224" s="9" t="s">
        <v>932</v>
      </c>
      <c r="H224" s="1" t="s">
        <v>118</v>
      </c>
      <c r="I224" s="10">
        <f>IF(COUNTIFS($B$7:B224,B224,$D$7:D224,D224)=1,1,0)</f>
        <v>1</v>
      </c>
    </row>
    <row r="225" spans="1:9" ht="22.95" customHeight="1">
      <c r="A225" s="1" t="s">
        <v>933</v>
      </c>
      <c r="B225" s="1" t="s">
        <v>928</v>
      </c>
      <c r="C225" s="1" t="s">
        <v>929</v>
      </c>
      <c r="D225" s="1" t="s">
        <v>27</v>
      </c>
      <c r="E225" s="1" t="s">
        <v>28</v>
      </c>
      <c r="F225" s="1" t="s">
        <v>11</v>
      </c>
      <c r="G225" s="9" t="s">
        <v>426</v>
      </c>
      <c r="H225" s="1" t="s">
        <v>28</v>
      </c>
      <c r="I225" s="10">
        <f>IF(COUNTIFS($B$7:B225,B225,$D$7:D225,D225)=1,1,0)</f>
        <v>1</v>
      </c>
    </row>
    <row r="226" spans="1:9" ht="22.95" customHeight="1">
      <c r="A226" s="1" t="s">
        <v>934</v>
      </c>
      <c r="B226" s="1" t="s">
        <v>935</v>
      </c>
      <c r="C226" s="1" t="s">
        <v>936</v>
      </c>
      <c r="D226" s="1" t="s">
        <v>395</v>
      </c>
      <c r="E226" s="1" t="s">
        <v>396</v>
      </c>
      <c r="F226" s="1" t="s">
        <v>421</v>
      </c>
      <c r="G226" s="9" t="s">
        <v>937</v>
      </c>
      <c r="H226" s="1" t="s">
        <v>396</v>
      </c>
      <c r="I226" s="10">
        <f>IF(COUNTIFS($B$7:B226,B226,$D$7:D226,D226)=1,1,0)</f>
        <v>1</v>
      </c>
    </row>
    <row r="227" spans="1:9" ht="22.95" customHeight="1">
      <c r="A227" s="1" t="s">
        <v>938</v>
      </c>
      <c r="B227" s="1" t="s">
        <v>935</v>
      </c>
      <c r="C227" s="1" t="s">
        <v>936</v>
      </c>
      <c r="D227" s="1" t="s">
        <v>107</v>
      </c>
      <c r="E227" s="1" t="s">
        <v>108</v>
      </c>
      <c r="F227" s="1" t="s">
        <v>10</v>
      </c>
      <c r="G227" s="9" t="s">
        <v>939</v>
      </c>
      <c r="H227" s="1" t="s">
        <v>108</v>
      </c>
      <c r="I227" s="10">
        <f>IF(COUNTIFS($B$7:B227,B227,$D$7:D227,D227)=1,1,0)</f>
        <v>1</v>
      </c>
    </row>
    <row r="228" spans="1:9" ht="22.95" customHeight="1">
      <c r="A228" s="1" t="s">
        <v>940</v>
      </c>
      <c r="B228" s="1" t="s">
        <v>935</v>
      </c>
      <c r="C228" s="1" t="s">
        <v>936</v>
      </c>
      <c r="D228" s="1" t="s">
        <v>27</v>
      </c>
      <c r="E228" s="1" t="s">
        <v>28</v>
      </c>
      <c r="F228" s="1" t="s">
        <v>11</v>
      </c>
      <c r="G228" s="9" t="s">
        <v>426</v>
      </c>
      <c r="H228" s="1" t="s">
        <v>28</v>
      </c>
      <c r="I228" s="10">
        <f>IF(COUNTIFS($B$7:B228,B228,$D$7:D228,D228)=1,1,0)</f>
        <v>1</v>
      </c>
    </row>
    <row r="229" spans="1:9" ht="22.95" customHeight="1">
      <c r="A229" s="1" t="s">
        <v>941</v>
      </c>
      <c r="B229" s="1" t="s">
        <v>942</v>
      </c>
      <c r="C229" s="1" t="s">
        <v>943</v>
      </c>
      <c r="D229" s="1" t="s">
        <v>73</v>
      </c>
      <c r="E229" s="1" t="s">
        <v>74</v>
      </c>
      <c r="F229" s="1" t="s">
        <v>421</v>
      </c>
      <c r="G229" s="9" t="s">
        <v>578</v>
      </c>
      <c r="H229" s="1" t="s">
        <v>74</v>
      </c>
      <c r="I229" s="10">
        <f>IF(COUNTIFS($B$7:B229,B229,$D$7:D229,D229)=1,1,0)</f>
        <v>1</v>
      </c>
    </row>
    <row r="230" spans="1:9" ht="22.95" customHeight="1">
      <c r="A230" s="1" t="s">
        <v>944</v>
      </c>
      <c r="B230" s="1" t="s">
        <v>942</v>
      </c>
      <c r="C230" s="1" t="s">
        <v>943</v>
      </c>
      <c r="D230" s="1" t="s">
        <v>27</v>
      </c>
      <c r="E230" s="1" t="s">
        <v>28</v>
      </c>
      <c r="F230" s="1" t="s">
        <v>10</v>
      </c>
      <c r="G230" s="9" t="s">
        <v>426</v>
      </c>
      <c r="H230" s="1" t="s">
        <v>28</v>
      </c>
      <c r="I230" s="10">
        <f>IF(COUNTIFS($B$7:B230,B230,$D$7:D230,D230)=1,1,0)</f>
        <v>1</v>
      </c>
    </row>
    <row r="231" spans="1:9" ht="22.95" customHeight="1">
      <c r="A231" s="1" t="s">
        <v>945</v>
      </c>
      <c r="B231" s="1" t="s">
        <v>942</v>
      </c>
      <c r="C231" s="1" t="s">
        <v>943</v>
      </c>
      <c r="D231" s="1" t="s">
        <v>51</v>
      </c>
      <c r="E231" s="1" t="s">
        <v>52</v>
      </c>
      <c r="F231" s="1" t="s">
        <v>11</v>
      </c>
      <c r="G231" s="9" t="s">
        <v>555</v>
      </c>
      <c r="H231" s="1" t="s">
        <v>946</v>
      </c>
      <c r="I231" s="10">
        <f>IF(COUNTIFS($B$7:B231,B231,$D$7:D231,D231)=1,1,0)</f>
        <v>1</v>
      </c>
    </row>
    <row r="232" spans="1:9" ht="22.95" customHeight="1">
      <c r="A232" s="1" t="s">
        <v>947</v>
      </c>
      <c r="B232" s="1" t="s">
        <v>948</v>
      </c>
      <c r="C232" s="1" t="s">
        <v>949</v>
      </c>
      <c r="D232" s="1" t="s">
        <v>89</v>
      </c>
      <c r="E232" s="1" t="s">
        <v>90</v>
      </c>
      <c r="F232" s="1" t="s">
        <v>421</v>
      </c>
      <c r="G232" s="9" t="s">
        <v>950</v>
      </c>
      <c r="H232" s="1" t="s">
        <v>90</v>
      </c>
      <c r="I232" s="10">
        <f>IF(COUNTIFS($B$7:B232,B232,$D$7:D232,D232)=1,1,0)</f>
        <v>1</v>
      </c>
    </row>
    <row r="233" spans="1:9" ht="22.95" customHeight="1">
      <c r="A233" s="1" t="s">
        <v>951</v>
      </c>
      <c r="B233" s="1" t="s">
        <v>948</v>
      </c>
      <c r="C233" s="1" t="s">
        <v>949</v>
      </c>
      <c r="D233" s="1" t="s">
        <v>27</v>
      </c>
      <c r="E233" s="1" t="s">
        <v>28</v>
      </c>
      <c r="F233" s="1" t="s">
        <v>10</v>
      </c>
      <c r="G233" s="9" t="s">
        <v>426</v>
      </c>
      <c r="H233" s="1" t="s">
        <v>28</v>
      </c>
      <c r="I233" s="10">
        <f>IF(COUNTIFS($B$7:B233,B233,$D$7:D233,D233)=1,1,0)</f>
        <v>1</v>
      </c>
    </row>
    <row r="234" spans="1:9" ht="22.95" customHeight="1">
      <c r="A234" s="1" t="s">
        <v>952</v>
      </c>
      <c r="B234" s="1" t="s">
        <v>948</v>
      </c>
      <c r="C234" s="1" t="s">
        <v>949</v>
      </c>
      <c r="D234" s="1" t="s">
        <v>359</v>
      </c>
      <c r="E234" s="1" t="s">
        <v>360</v>
      </c>
      <c r="F234" s="1" t="s">
        <v>11</v>
      </c>
      <c r="G234" s="9" t="s">
        <v>953</v>
      </c>
      <c r="H234" s="1" t="s">
        <v>360</v>
      </c>
      <c r="I234" s="10">
        <f>IF(COUNTIFS($B$7:B234,B234,$D$7:D234,D234)=1,1,0)</f>
        <v>1</v>
      </c>
    </row>
    <row r="235" spans="1:9" ht="22.95" customHeight="1">
      <c r="A235" s="1" t="s">
        <v>954</v>
      </c>
      <c r="B235" s="1" t="s">
        <v>955</v>
      </c>
      <c r="C235" s="1" t="s">
        <v>956</v>
      </c>
      <c r="D235" s="1" t="s">
        <v>381</v>
      </c>
      <c r="E235" s="1" t="s">
        <v>382</v>
      </c>
      <c r="F235" s="1" t="s">
        <v>421</v>
      </c>
      <c r="G235" s="9" t="s">
        <v>957</v>
      </c>
      <c r="H235" s="1" t="s">
        <v>382</v>
      </c>
      <c r="I235" s="10">
        <f>IF(COUNTIFS($B$7:B235,B235,$D$7:D235,D235)=1,1,0)</f>
        <v>1</v>
      </c>
    </row>
    <row r="236" spans="1:9" ht="22.95" customHeight="1">
      <c r="A236" s="1" t="s">
        <v>958</v>
      </c>
      <c r="B236" s="1" t="s">
        <v>955</v>
      </c>
      <c r="C236" s="1" t="s">
        <v>956</v>
      </c>
      <c r="D236" s="1" t="s">
        <v>27</v>
      </c>
      <c r="E236" s="1" t="s">
        <v>28</v>
      </c>
      <c r="F236" s="1" t="s">
        <v>10</v>
      </c>
      <c r="G236" s="9" t="s">
        <v>426</v>
      </c>
      <c r="H236" s="1" t="s">
        <v>28</v>
      </c>
      <c r="I236" s="10">
        <f>IF(COUNTIFS($B$7:B236,B236,$D$7:D236,D236)=1,1,0)</f>
        <v>1</v>
      </c>
    </row>
    <row r="237" spans="1:9" ht="22.95" customHeight="1">
      <c r="A237" s="1" t="s">
        <v>959</v>
      </c>
      <c r="B237" s="1" t="s">
        <v>955</v>
      </c>
      <c r="C237" s="1" t="s">
        <v>956</v>
      </c>
      <c r="D237" s="1" t="s">
        <v>123</v>
      </c>
      <c r="E237" s="1" t="s">
        <v>124</v>
      </c>
      <c r="F237" s="1" t="s">
        <v>11</v>
      </c>
      <c r="G237" s="9" t="s">
        <v>960</v>
      </c>
      <c r="H237" s="1" t="s">
        <v>124</v>
      </c>
      <c r="I237" s="10">
        <f>IF(COUNTIFS($B$7:B237,B237,$D$7:D237,D237)=1,1,0)</f>
        <v>1</v>
      </c>
    </row>
    <row r="238" spans="1:9" ht="22.95" customHeight="1">
      <c r="A238" s="1" t="s">
        <v>961</v>
      </c>
      <c r="B238" s="1" t="s">
        <v>962</v>
      </c>
      <c r="C238" s="1" t="s">
        <v>963</v>
      </c>
      <c r="D238" s="1" t="s">
        <v>41</v>
      </c>
      <c r="E238" s="1" t="s">
        <v>42</v>
      </c>
      <c r="F238" s="1" t="s">
        <v>421</v>
      </c>
      <c r="G238" s="9" t="s">
        <v>864</v>
      </c>
      <c r="H238" s="1" t="s">
        <v>42</v>
      </c>
      <c r="I238" s="10">
        <f>IF(COUNTIFS($B$7:B238,B238,$D$7:D238,D238)=1,1,0)</f>
        <v>1</v>
      </c>
    </row>
    <row r="239" spans="1:9" ht="22.95" customHeight="1">
      <c r="A239" s="1" t="s">
        <v>964</v>
      </c>
      <c r="B239" s="1" t="s">
        <v>962</v>
      </c>
      <c r="C239" s="1" t="s">
        <v>963</v>
      </c>
      <c r="D239" s="1" t="s">
        <v>37</v>
      </c>
      <c r="E239" s="1" t="s">
        <v>38</v>
      </c>
      <c r="F239" s="1" t="s">
        <v>10</v>
      </c>
      <c r="G239" s="9" t="s">
        <v>965</v>
      </c>
      <c r="H239" s="1" t="s">
        <v>38</v>
      </c>
      <c r="I239" s="10">
        <f>IF(COUNTIFS($B$7:B239,B239,$D$7:D239,D239)=1,1,0)</f>
        <v>1</v>
      </c>
    </row>
    <row r="240" spans="1:9" ht="22.95" customHeight="1">
      <c r="A240" s="1" t="s">
        <v>966</v>
      </c>
      <c r="B240" s="1" t="s">
        <v>962</v>
      </c>
      <c r="C240" s="1" t="s">
        <v>963</v>
      </c>
      <c r="D240" s="1" t="s">
        <v>69</v>
      </c>
      <c r="E240" s="1" t="s">
        <v>70</v>
      </c>
      <c r="F240" s="1" t="s">
        <v>11</v>
      </c>
      <c r="G240" s="9" t="s">
        <v>645</v>
      </c>
      <c r="H240" s="1" t="s">
        <v>70</v>
      </c>
      <c r="I240" s="10">
        <f>IF(COUNTIFS($B$7:B240,B240,$D$7:D240,D240)=1,1,0)</f>
        <v>1</v>
      </c>
    </row>
    <row r="241" spans="1:9" ht="22.95" customHeight="1">
      <c r="A241" s="1" t="s">
        <v>967</v>
      </c>
      <c r="B241" s="1" t="s">
        <v>968</v>
      </c>
      <c r="C241" s="1" t="s">
        <v>969</v>
      </c>
      <c r="D241" s="1" t="s">
        <v>161</v>
      </c>
      <c r="E241" s="1" t="s">
        <v>162</v>
      </c>
      <c r="F241" s="1" t="s">
        <v>421</v>
      </c>
      <c r="G241" s="9" t="s">
        <v>970</v>
      </c>
      <c r="H241" s="1" t="s">
        <v>162</v>
      </c>
      <c r="I241" s="10">
        <f>IF(COUNTIFS($B$7:B241,B241,$D$7:D241,D241)=1,1,0)</f>
        <v>1</v>
      </c>
    </row>
    <row r="242" spans="1:9" ht="22.95" customHeight="1">
      <c r="A242" s="1" t="s">
        <v>971</v>
      </c>
      <c r="B242" s="1" t="s">
        <v>968</v>
      </c>
      <c r="C242" s="1" t="s">
        <v>969</v>
      </c>
      <c r="D242" s="1" t="s">
        <v>317</v>
      </c>
      <c r="E242" s="1" t="s">
        <v>318</v>
      </c>
      <c r="F242" s="1" t="s">
        <v>10</v>
      </c>
      <c r="G242" s="9" t="s">
        <v>972</v>
      </c>
      <c r="H242" s="1" t="s">
        <v>318</v>
      </c>
      <c r="I242" s="10">
        <f>IF(COUNTIFS($B$7:B242,B242,$D$7:D242,D242)=1,1,0)</f>
        <v>1</v>
      </c>
    </row>
    <row r="243" spans="1:9" ht="22.95" customHeight="1">
      <c r="A243" s="1" t="s">
        <v>973</v>
      </c>
      <c r="B243" s="1" t="s">
        <v>968</v>
      </c>
      <c r="C243" s="1" t="s">
        <v>969</v>
      </c>
      <c r="D243" s="1" t="s">
        <v>27</v>
      </c>
      <c r="E243" s="1" t="s">
        <v>28</v>
      </c>
      <c r="F243" s="1" t="s">
        <v>11</v>
      </c>
      <c r="G243" s="9" t="s">
        <v>426</v>
      </c>
      <c r="H243" s="1" t="s">
        <v>28</v>
      </c>
      <c r="I243" s="10">
        <f>IF(COUNTIFS($B$7:B243,B243,$D$7:D243,D243)=1,1,0)</f>
        <v>1</v>
      </c>
    </row>
    <row r="244" spans="1:9" ht="22.95" customHeight="1">
      <c r="A244" s="1" t="s">
        <v>974</v>
      </c>
      <c r="B244" s="1" t="s">
        <v>975</v>
      </c>
      <c r="C244" s="1" t="s">
        <v>976</v>
      </c>
      <c r="D244" s="1" t="s">
        <v>407</v>
      </c>
      <c r="E244" s="1" t="s">
        <v>408</v>
      </c>
      <c r="F244" s="1" t="s">
        <v>421</v>
      </c>
      <c r="G244" s="9" t="s">
        <v>977</v>
      </c>
      <c r="H244" s="1" t="s">
        <v>408</v>
      </c>
      <c r="I244" s="10">
        <f>IF(COUNTIFS($B$7:B244,B244,$D$7:D244,D244)=1,1,0)</f>
        <v>1</v>
      </c>
    </row>
    <row r="245" spans="1:9" ht="22.95" customHeight="1">
      <c r="A245" s="1" t="s">
        <v>978</v>
      </c>
      <c r="B245" s="1" t="s">
        <v>975</v>
      </c>
      <c r="C245" s="1" t="s">
        <v>976</v>
      </c>
      <c r="D245" s="1" t="s">
        <v>181</v>
      </c>
      <c r="E245" s="1" t="s">
        <v>182</v>
      </c>
      <c r="F245" s="1" t="s">
        <v>10</v>
      </c>
      <c r="G245" s="9" t="s">
        <v>979</v>
      </c>
      <c r="H245" s="1" t="s">
        <v>182</v>
      </c>
      <c r="I245" s="10">
        <f>IF(COUNTIFS($B$7:B245,B245,$D$7:D245,D245)=1,1,0)</f>
        <v>1</v>
      </c>
    </row>
    <row r="246" spans="1:9" ht="22.95" customHeight="1">
      <c r="A246" s="1" t="s">
        <v>980</v>
      </c>
      <c r="B246" s="1" t="s">
        <v>975</v>
      </c>
      <c r="C246" s="1" t="s">
        <v>976</v>
      </c>
      <c r="D246" s="1" t="s">
        <v>399</v>
      </c>
      <c r="E246" s="1" t="s">
        <v>400</v>
      </c>
      <c r="F246" s="1" t="s">
        <v>11</v>
      </c>
      <c r="G246" s="9" t="s">
        <v>981</v>
      </c>
      <c r="H246" s="1" t="s">
        <v>400</v>
      </c>
      <c r="I246" s="10">
        <f>IF(COUNTIFS($B$7:B246,B246,$D$7:D246,D246)=1,1,0)</f>
        <v>1</v>
      </c>
    </row>
    <row r="247" spans="1:9" ht="22.95" customHeight="1">
      <c r="A247" s="1" t="s">
        <v>982</v>
      </c>
      <c r="B247" s="1" t="s">
        <v>983</v>
      </c>
      <c r="C247" s="1" t="s">
        <v>984</v>
      </c>
      <c r="D247" s="1" t="s">
        <v>285</v>
      </c>
      <c r="E247" s="1" t="s">
        <v>286</v>
      </c>
      <c r="F247" s="1" t="s">
        <v>421</v>
      </c>
      <c r="G247" s="9" t="s">
        <v>985</v>
      </c>
      <c r="H247" s="1" t="s">
        <v>286</v>
      </c>
      <c r="I247" s="10">
        <f>IF(COUNTIFS($B$7:B247,B247,$D$7:D247,D247)=1,1,0)</f>
        <v>1</v>
      </c>
    </row>
    <row r="248" spans="1:9" ht="22.95" customHeight="1">
      <c r="A248" s="1" t="s">
        <v>986</v>
      </c>
      <c r="B248" s="1" t="s">
        <v>983</v>
      </c>
      <c r="C248" s="1" t="s">
        <v>984</v>
      </c>
      <c r="D248" s="1" t="s">
        <v>31</v>
      </c>
      <c r="E248" s="1" t="s">
        <v>32</v>
      </c>
      <c r="F248" s="1" t="s">
        <v>10</v>
      </c>
      <c r="G248" s="9" t="s">
        <v>461</v>
      </c>
      <c r="H248" s="1" t="s">
        <v>32</v>
      </c>
      <c r="I248" s="10">
        <f>IF(COUNTIFS($B$7:B248,B248,$D$7:D248,D248)=1,1,0)</f>
        <v>1</v>
      </c>
    </row>
    <row r="249" spans="1:9" ht="22.95" customHeight="1">
      <c r="A249" s="1" t="s">
        <v>987</v>
      </c>
      <c r="B249" s="1" t="s">
        <v>983</v>
      </c>
      <c r="C249" s="1" t="s">
        <v>984</v>
      </c>
      <c r="D249" s="1" t="s">
        <v>341</v>
      </c>
      <c r="E249" s="1" t="s">
        <v>342</v>
      </c>
      <c r="F249" s="1" t="s">
        <v>11</v>
      </c>
      <c r="G249" s="9" t="s">
        <v>988</v>
      </c>
      <c r="H249" s="1" t="s">
        <v>342</v>
      </c>
      <c r="I249" s="10">
        <f>IF(COUNTIFS($B$7:B249,B249,$D$7:D249,D249)=1,1,0)</f>
        <v>1</v>
      </c>
    </row>
    <row r="250" spans="1:9" ht="22.95" customHeight="1">
      <c r="A250" s="1" t="s">
        <v>989</v>
      </c>
      <c r="B250" s="1" t="s">
        <v>990</v>
      </c>
      <c r="C250" s="1" t="s">
        <v>991</v>
      </c>
      <c r="D250" s="1" t="s">
        <v>397</v>
      </c>
      <c r="E250" s="1" t="s">
        <v>398</v>
      </c>
      <c r="F250" s="1" t="s">
        <v>421</v>
      </c>
      <c r="G250" s="9" t="s">
        <v>992</v>
      </c>
      <c r="H250" s="1" t="s">
        <v>398</v>
      </c>
      <c r="I250" s="10">
        <f>IF(COUNTIFS($B$7:B250,B250,$D$7:D250,D250)=1,1,0)</f>
        <v>1</v>
      </c>
    </row>
    <row r="251" spans="1:9" ht="22.95" customHeight="1">
      <c r="A251" s="1" t="s">
        <v>993</v>
      </c>
      <c r="B251" s="1" t="s">
        <v>990</v>
      </c>
      <c r="C251" s="1" t="s">
        <v>991</v>
      </c>
      <c r="D251" s="1" t="s">
        <v>27</v>
      </c>
      <c r="E251" s="1" t="s">
        <v>28</v>
      </c>
      <c r="F251" s="1" t="s">
        <v>10</v>
      </c>
      <c r="G251" s="9" t="s">
        <v>426</v>
      </c>
      <c r="H251" s="1" t="s">
        <v>28</v>
      </c>
      <c r="I251" s="10">
        <f>IF(COUNTIFS($B$7:B251,B251,$D$7:D251,D251)=1,1,0)</f>
        <v>1</v>
      </c>
    </row>
    <row r="252" spans="1:9" ht="22.95" customHeight="1">
      <c r="A252" s="1" t="s">
        <v>994</v>
      </c>
      <c r="B252" s="1" t="s">
        <v>990</v>
      </c>
      <c r="C252" s="1" t="s">
        <v>991</v>
      </c>
      <c r="D252" s="1" t="s">
        <v>87</v>
      </c>
      <c r="E252" s="1" t="s">
        <v>88</v>
      </c>
      <c r="F252" s="1" t="s">
        <v>11</v>
      </c>
      <c r="G252" s="9" t="s">
        <v>995</v>
      </c>
      <c r="H252" s="1" t="s">
        <v>88</v>
      </c>
      <c r="I252" s="10">
        <f>IF(COUNTIFS($B$7:B252,B252,$D$7:D252,D252)=1,1,0)</f>
        <v>1</v>
      </c>
    </row>
    <row r="253" spans="1:9" ht="22.95" customHeight="1">
      <c r="A253" s="1" t="s">
        <v>996</v>
      </c>
      <c r="B253" s="1" t="s">
        <v>997</v>
      </c>
      <c r="C253" s="1" t="s">
        <v>998</v>
      </c>
      <c r="D253" s="1" t="s">
        <v>163</v>
      </c>
      <c r="E253" s="1" t="s">
        <v>164</v>
      </c>
      <c r="F253" s="1" t="s">
        <v>421</v>
      </c>
      <c r="G253" s="9" t="s">
        <v>999</v>
      </c>
      <c r="H253" s="1" t="s">
        <v>164</v>
      </c>
      <c r="I253" s="10">
        <f>IF(COUNTIFS($B$7:B253,B253,$D$7:D253,D253)=1,1,0)</f>
        <v>1</v>
      </c>
    </row>
    <row r="254" spans="1:9" ht="22.95" customHeight="1">
      <c r="A254" s="1" t="s">
        <v>1000</v>
      </c>
      <c r="B254" s="1" t="s">
        <v>997</v>
      </c>
      <c r="C254" s="1" t="s">
        <v>998</v>
      </c>
      <c r="D254" s="1" t="s">
        <v>27</v>
      </c>
      <c r="E254" s="1" t="s">
        <v>28</v>
      </c>
      <c r="F254" s="1" t="s">
        <v>10</v>
      </c>
      <c r="G254" s="9" t="s">
        <v>426</v>
      </c>
      <c r="H254" s="1" t="s">
        <v>28</v>
      </c>
      <c r="I254" s="10">
        <f>IF(COUNTIFS($B$7:B254,B254,$D$7:D254,D254)=1,1,0)</f>
        <v>1</v>
      </c>
    </row>
    <row r="255" spans="1:9" ht="22.95" customHeight="1">
      <c r="A255" s="1" t="s">
        <v>1001</v>
      </c>
      <c r="B255" s="1" t="s">
        <v>997</v>
      </c>
      <c r="C255" s="1" t="s">
        <v>998</v>
      </c>
      <c r="D255" s="1" t="s">
        <v>33</v>
      </c>
      <c r="E255" s="1" t="s">
        <v>34</v>
      </c>
      <c r="F255" s="1" t="s">
        <v>11</v>
      </c>
      <c r="G255" s="9" t="s">
        <v>424</v>
      </c>
      <c r="H255" s="1" t="s">
        <v>34</v>
      </c>
      <c r="I255" s="10">
        <f>IF(COUNTIFS($B$7:B255,B255,$D$7:D255,D255)=1,1,0)</f>
        <v>1</v>
      </c>
    </row>
    <row r="256" spans="1:9" ht="22.95" customHeight="1">
      <c r="A256" s="1" t="s">
        <v>1002</v>
      </c>
      <c r="B256" s="1" t="s">
        <v>1003</v>
      </c>
      <c r="C256" s="1" t="s">
        <v>1004</v>
      </c>
      <c r="D256" s="1" t="s">
        <v>67</v>
      </c>
      <c r="E256" s="1" t="s">
        <v>68</v>
      </c>
      <c r="F256" s="1" t="s">
        <v>421</v>
      </c>
      <c r="G256" s="9" t="s">
        <v>900</v>
      </c>
      <c r="H256" s="1" t="s">
        <v>68</v>
      </c>
      <c r="I256" s="10">
        <f>IF(COUNTIFS($B$7:B256,B256,$D$7:D256,D256)=1,1,0)</f>
        <v>1</v>
      </c>
    </row>
    <row r="257" spans="1:9" ht="22.95" customHeight="1">
      <c r="A257" s="1" t="s">
        <v>1005</v>
      </c>
      <c r="B257" s="1" t="s">
        <v>1003</v>
      </c>
      <c r="C257" s="1" t="s">
        <v>1004</v>
      </c>
      <c r="D257" s="1" t="s">
        <v>307</v>
      </c>
      <c r="E257" s="1" t="s">
        <v>308</v>
      </c>
      <c r="F257" s="1" t="s">
        <v>10</v>
      </c>
      <c r="G257" s="9" t="s">
        <v>1006</v>
      </c>
      <c r="H257" s="1" t="s">
        <v>308</v>
      </c>
      <c r="I257" s="10">
        <f>IF(COUNTIFS($B$7:B257,B257,$D$7:D257,D257)=1,1,0)</f>
        <v>1</v>
      </c>
    </row>
    <row r="258" spans="1:9" ht="22.95" customHeight="1">
      <c r="A258" s="1" t="s">
        <v>1007</v>
      </c>
      <c r="B258" s="1" t="s">
        <v>1003</v>
      </c>
      <c r="C258" s="1" t="s">
        <v>1004</v>
      </c>
      <c r="D258" s="1" t="s">
        <v>67</v>
      </c>
      <c r="E258" s="1" t="s">
        <v>68</v>
      </c>
      <c r="F258" s="1" t="s">
        <v>11</v>
      </c>
      <c r="G258" s="9" t="s">
        <v>1008</v>
      </c>
      <c r="H258" s="1" t="s">
        <v>68</v>
      </c>
      <c r="I258" s="10">
        <f>IF(COUNTIFS($B$7:B258,B258,$D$7:D258,D258)=1,1,0)</f>
        <v>0</v>
      </c>
    </row>
    <row r="259" spans="1:9" ht="22.95" customHeight="1">
      <c r="A259" s="1" t="s">
        <v>1009</v>
      </c>
      <c r="B259" s="1" t="s">
        <v>1010</v>
      </c>
      <c r="C259" s="1" t="s">
        <v>1011</v>
      </c>
      <c r="D259" s="1" t="s">
        <v>101</v>
      </c>
      <c r="E259" s="1" t="s">
        <v>102</v>
      </c>
      <c r="F259" s="1" t="s">
        <v>421</v>
      </c>
      <c r="G259" s="9" t="s">
        <v>1012</v>
      </c>
      <c r="H259" s="1" t="s">
        <v>102</v>
      </c>
      <c r="I259" s="10">
        <f>IF(COUNTIFS($B$7:B259,B259,$D$7:D259,D259)=1,1,0)</f>
        <v>1</v>
      </c>
    </row>
    <row r="260" spans="1:9" ht="22.95" customHeight="1">
      <c r="A260" s="1" t="s">
        <v>1013</v>
      </c>
      <c r="B260" s="1" t="s">
        <v>1010</v>
      </c>
      <c r="C260" s="1" t="s">
        <v>1011</v>
      </c>
      <c r="D260" s="1" t="s">
        <v>57</v>
      </c>
      <c r="E260" s="1" t="s">
        <v>58</v>
      </c>
      <c r="F260" s="1" t="s">
        <v>10</v>
      </c>
      <c r="G260" s="9" t="s">
        <v>871</v>
      </c>
      <c r="H260" s="1" t="s">
        <v>58</v>
      </c>
      <c r="I260" s="10">
        <f>IF(COUNTIFS($B$7:B260,B260,$D$7:D260,D260)=1,1,0)</f>
        <v>1</v>
      </c>
    </row>
    <row r="261" spans="1:9" ht="22.95" customHeight="1">
      <c r="A261" s="1" t="s">
        <v>1014</v>
      </c>
      <c r="B261" s="1" t="s">
        <v>1010</v>
      </c>
      <c r="C261" s="1" t="s">
        <v>1011</v>
      </c>
      <c r="D261" s="1" t="s">
        <v>105</v>
      </c>
      <c r="E261" s="1" t="s">
        <v>106</v>
      </c>
      <c r="F261" s="1" t="s">
        <v>11</v>
      </c>
      <c r="G261" s="9" t="s">
        <v>1015</v>
      </c>
      <c r="H261" s="1" t="s">
        <v>106</v>
      </c>
      <c r="I261" s="10">
        <f>IF(COUNTIFS($B$7:B261,B261,$D$7:D261,D261)=1,1,0)</f>
        <v>1</v>
      </c>
    </row>
    <row r="262" spans="1:9" ht="22.95" customHeight="1">
      <c r="A262" s="1" t="s">
        <v>1016</v>
      </c>
      <c r="B262" s="1" t="s">
        <v>1017</v>
      </c>
      <c r="C262" s="1" t="s">
        <v>1018</v>
      </c>
      <c r="D262" s="1" t="s">
        <v>37</v>
      </c>
      <c r="E262" s="1" t="s">
        <v>38</v>
      </c>
      <c r="F262" s="1" t="s">
        <v>421</v>
      </c>
      <c r="G262" s="9" t="s">
        <v>965</v>
      </c>
      <c r="H262" s="1" t="s">
        <v>38</v>
      </c>
      <c r="I262" s="10">
        <f>IF(COUNTIFS($B$7:B262,B262,$D$7:D262,D262)=1,1,0)</f>
        <v>1</v>
      </c>
    </row>
    <row r="263" spans="1:9" ht="22.95" customHeight="1">
      <c r="A263" s="1" t="s">
        <v>1019</v>
      </c>
      <c r="B263" s="1" t="s">
        <v>1017</v>
      </c>
      <c r="C263" s="1" t="s">
        <v>1018</v>
      </c>
      <c r="D263" s="1" t="s">
        <v>185</v>
      </c>
      <c r="E263" s="1" t="s">
        <v>186</v>
      </c>
      <c r="F263" s="1" t="s">
        <v>10</v>
      </c>
      <c r="G263" s="9" t="s">
        <v>1020</v>
      </c>
      <c r="H263" s="1" t="s">
        <v>186</v>
      </c>
      <c r="I263" s="10">
        <f>IF(COUNTIFS($B$7:B263,B263,$D$7:D263,D263)=1,1,0)</f>
        <v>1</v>
      </c>
    </row>
    <row r="264" spans="1:9" ht="22.95" customHeight="1">
      <c r="A264" s="1" t="s">
        <v>1021</v>
      </c>
      <c r="B264" s="1" t="s">
        <v>1017</v>
      </c>
      <c r="C264" s="1" t="s">
        <v>1018</v>
      </c>
      <c r="D264" s="1" t="s">
        <v>95</v>
      </c>
      <c r="E264" s="1" t="s">
        <v>96</v>
      </c>
      <c r="F264" s="1" t="s">
        <v>11</v>
      </c>
      <c r="G264" s="9" t="s">
        <v>1022</v>
      </c>
      <c r="H264" s="1" t="s">
        <v>96</v>
      </c>
      <c r="I264" s="10">
        <f>IF(COUNTIFS($B$7:B264,B264,$D$7:D264,D264)=1,1,0)</f>
        <v>1</v>
      </c>
    </row>
    <row r="265" spans="1:9" ht="22.95" customHeight="1">
      <c r="A265" s="1" t="s">
        <v>1023</v>
      </c>
      <c r="B265" s="1" t="s">
        <v>1024</v>
      </c>
      <c r="C265" s="1" t="s">
        <v>1025</v>
      </c>
      <c r="D265" s="1" t="s">
        <v>225</v>
      </c>
      <c r="E265" s="1" t="s">
        <v>226</v>
      </c>
      <c r="F265" s="1" t="s">
        <v>421</v>
      </c>
      <c r="G265" s="9" t="s">
        <v>1026</v>
      </c>
      <c r="H265" s="1" t="s">
        <v>226</v>
      </c>
      <c r="I265" s="10">
        <f>IF(COUNTIFS($B$7:B265,B265,$D$7:D265,D265)=1,1,0)</f>
        <v>1</v>
      </c>
    </row>
    <row r="266" spans="1:9" ht="22.95" customHeight="1">
      <c r="A266" s="1" t="s">
        <v>1027</v>
      </c>
      <c r="B266" s="1" t="s">
        <v>1024</v>
      </c>
      <c r="C266" s="1" t="s">
        <v>1025</v>
      </c>
      <c r="D266" s="1" t="s">
        <v>27</v>
      </c>
      <c r="E266" s="1" t="s">
        <v>28</v>
      </c>
      <c r="F266" s="1" t="s">
        <v>10</v>
      </c>
      <c r="G266" s="9" t="s">
        <v>426</v>
      </c>
      <c r="H266" s="1" t="s">
        <v>28</v>
      </c>
      <c r="I266" s="10">
        <f>IF(COUNTIFS($B$7:B266,B266,$D$7:D266,D266)=1,1,0)</f>
        <v>1</v>
      </c>
    </row>
    <row r="267" spans="1:9" ht="22.95" customHeight="1">
      <c r="A267" s="1" t="s">
        <v>1028</v>
      </c>
      <c r="B267" s="1" t="s">
        <v>1024</v>
      </c>
      <c r="C267" s="1" t="s">
        <v>1025</v>
      </c>
      <c r="D267" s="1" t="s">
        <v>61</v>
      </c>
      <c r="E267" s="1" t="s">
        <v>62</v>
      </c>
      <c r="F267" s="1" t="s">
        <v>11</v>
      </c>
      <c r="G267" s="9" t="s">
        <v>1029</v>
      </c>
      <c r="H267" s="1" t="s">
        <v>1030</v>
      </c>
      <c r="I267" s="10">
        <f>IF(COUNTIFS($B$7:B267,B267,$D$7:D267,D267)=1,1,0)</f>
        <v>1</v>
      </c>
    </row>
    <row r="268" spans="1:9" ht="22.95" customHeight="1">
      <c r="A268" s="1" t="s">
        <v>1031</v>
      </c>
      <c r="B268" s="1" t="s">
        <v>1032</v>
      </c>
      <c r="C268" s="1" t="s">
        <v>1033</v>
      </c>
      <c r="D268" s="1" t="s">
        <v>259</v>
      </c>
      <c r="E268" s="1" t="s">
        <v>260</v>
      </c>
      <c r="F268" s="1" t="s">
        <v>421</v>
      </c>
      <c r="G268" s="9" t="s">
        <v>1034</v>
      </c>
      <c r="H268" s="1" t="s">
        <v>260</v>
      </c>
      <c r="I268" s="10">
        <f>IF(COUNTIFS($B$7:B268,B268,$D$7:D268,D268)=1,1,0)</f>
        <v>1</v>
      </c>
    </row>
    <row r="269" spans="1:9" ht="22.95" customHeight="1">
      <c r="A269" s="1" t="s">
        <v>1035</v>
      </c>
      <c r="B269" s="1" t="s">
        <v>1032</v>
      </c>
      <c r="C269" s="1" t="s">
        <v>1033</v>
      </c>
      <c r="D269" s="1" t="s">
        <v>27</v>
      </c>
      <c r="E269" s="1" t="s">
        <v>28</v>
      </c>
      <c r="F269" s="1" t="s">
        <v>10</v>
      </c>
      <c r="G269" s="9" t="s">
        <v>426</v>
      </c>
      <c r="H269" s="1" t="s">
        <v>28</v>
      </c>
      <c r="I269" s="10">
        <f>IF(COUNTIFS($B$7:B269,B269,$D$7:D269,D269)=1,1,0)</f>
        <v>1</v>
      </c>
    </row>
    <row r="270" spans="1:9" ht="22.95" customHeight="1">
      <c r="A270" s="1" t="s">
        <v>1036</v>
      </c>
      <c r="B270" s="1" t="s">
        <v>1032</v>
      </c>
      <c r="C270" s="1" t="s">
        <v>1033</v>
      </c>
      <c r="D270" s="1" t="s">
        <v>79</v>
      </c>
      <c r="E270" s="1" t="s">
        <v>80</v>
      </c>
      <c r="F270" s="1" t="s">
        <v>11</v>
      </c>
      <c r="G270" s="9" t="s">
        <v>1037</v>
      </c>
      <c r="H270" s="1" t="s">
        <v>80</v>
      </c>
      <c r="I270" s="10">
        <f>IF(COUNTIFS($B$7:B270,B270,$D$7:D270,D270)=1,1,0)</f>
        <v>1</v>
      </c>
    </row>
    <row r="271" spans="1:9" ht="22.95" customHeight="1">
      <c r="A271" s="1" t="s">
        <v>1038</v>
      </c>
      <c r="B271" s="1" t="s">
        <v>1039</v>
      </c>
      <c r="C271" s="1" t="s">
        <v>1040</v>
      </c>
      <c r="D271" s="1" t="s">
        <v>91</v>
      </c>
      <c r="E271" s="1" t="s">
        <v>92</v>
      </c>
      <c r="F271" s="1" t="s">
        <v>421</v>
      </c>
      <c r="G271" s="9" t="s">
        <v>900</v>
      </c>
      <c r="H271" s="1" t="s">
        <v>92</v>
      </c>
      <c r="I271" s="10">
        <f>IF(COUNTIFS($B$7:B271,B271,$D$7:D271,D271)=1,1,0)</f>
        <v>1</v>
      </c>
    </row>
    <row r="272" spans="1:9" ht="22.95" customHeight="1">
      <c r="A272" s="1" t="s">
        <v>1041</v>
      </c>
      <c r="B272" s="1" t="s">
        <v>1039</v>
      </c>
      <c r="C272" s="1" t="s">
        <v>1040</v>
      </c>
      <c r="D272" s="1" t="s">
        <v>41</v>
      </c>
      <c r="E272" s="1" t="s">
        <v>42</v>
      </c>
      <c r="F272" s="1" t="s">
        <v>10</v>
      </c>
      <c r="G272" s="9" t="s">
        <v>864</v>
      </c>
      <c r="H272" s="1" t="s">
        <v>42</v>
      </c>
      <c r="I272" s="10">
        <f>IF(COUNTIFS($B$7:B272,B272,$D$7:D272,D272)=1,1,0)</f>
        <v>1</v>
      </c>
    </row>
    <row r="273" spans="1:9" ht="22.95" customHeight="1">
      <c r="A273" s="1" t="s">
        <v>1042</v>
      </c>
      <c r="B273" s="1" t="s">
        <v>1039</v>
      </c>
      <c r="C273" s="1" t="s">
        <v>1040</v>
      </c>
      <c r="D273" s="1" t="s">
        <v>355</v>
      </c>
      <c r="E273" s="1" t="s">
        <v>356</v>
      </c>
      <c r="F273" s="1" t="s">
        <v>11</v>
      </c>
      <c r="G273" s="9" t="s">
        <v>1043</v>
      </c>
      <c r="H273" s="1" t="s">
        <v>356</v>
      </c>
      <c r="I273" s="10">
        <f>IF(COUNTIFS($B$7:B273,B273,$D$7:D273,D273)=1,1,0)</f>
        <v>1</v>
      </c>
    </row>
    <row r="274" spans="1:9" ht="22.95" customHeight="1">
      <c r="A274" s="1" t="s">
        <v>1044</v>
      </c>
      <c r="B274" s="1" t="s">
        <v>1045</v>
      </c>
      <c r="C274" s="1" t="s">
        <v>1046</v>
      </c>
      <c r="D274" s="1" t="s">
        <v>371</v>
      </c>
      <c r="E274" s="1" t="s">
        <v>372</v>
      </c>
      <c r="F274" s="1" t="s">
        <v>421</v>
      </c>
      <c r="G274" s="9" t="s">
        <v>1047</v>
      </c>
      <c r="H274" s="1" t="s">
        <v>372</v>
      </c>
      <c r="I274" s="10">
        <f>IF(COUNTIFS($B$7:B274,B274,$D$7:D274,D274)=1,1,0)</f>
        <v>1</v>
      </c>
    </row>
    <row r="275" spans="1:9" ht="22.95" customHeight="1">
      <c r="A275" s="1" t="s">
        <v>1048</v>
      </c>
      <c r="B275" s="1" t="s">
        <v>1045</v>
      </c>
      <c r="C275" s="1" t="s">
        <v>1046</v>
      </c>
      <c r="D275" s="1" t="s">
        <v>255</v>
      </c>
      <c r="E275" s="1" t="s">
        <v>256</v>
      </c>
      <c r="F275" s="1" t="s">
        <v>10</v>
      </c>
      <c r="G275" s="9" t="s">
        <v>1049</v>
      </c>
      <c r="H275" s="1" t="s">
        <v>256</v>
      </c>
      <c r="I275" s="10">
        <f>IF(COUNTIFS($B$7:B275,B275,$D$7:D275,D275)=1,1,0)</f>
        <v>1</v>
      </c>
    </row>
    <row r="276" spans="1:9" ht="22.95" customHeight="1">
      <c r="A276" s="1" t="s">
        <v>1050</v>
      </c>
      <c r="B276" s="1" t="s">
        <v>1045</v>
      </c>
      <c r="C276" s="1" t="s">
        <v>1046</v>
      </c>
      <c r="D276" s="1" t="s">
        <v>197</v>
      </c>
      <c r="E276" s="1" t="s">
        <v>198</v>
      </c>
      <c r="F276" s="1" t="s">
        <v>11</v>
      </c>
      <c r="G276" s="9" t="s">
        <v>1051</v>
      </c>
      <c r="H276" s="1" t="s">
        <v>198</v>
      </c>
      <c r="I276" s="10">
        <f>IF(COUNTIFS($B$7:B276,B276,$D$7:D276,D276)=1,1,0)</f>
        <v>1</v>
      </c>
    </row>
    <row r="277" spans="1:9" ht="22.95" customHeight="1">
      <c r="A277" s="1" t="s">
        <v>1052</v>
      </c>
      <c r="B277" s="1" t="s">
        <v>1053</v>
      </c>
      <c r="C277" s="1" t="s">
        <v>1054</v>
      </c>
      <c r="D277" s="1" t="s">
        <v>37</v>
      </c>
      <c r="E277" s="1" t="s">
        <v>38</v>
      </c>
      <c r="F277" s="1" t="s">
        <v>421</v>
      </c>
      <c r="G277" s="9" t="s">
        <v>965</v>
      </c>
      <c r="H277" s="1" t="s">
        <v>38</v>
      </c>
      <c r="I277" s="10">
        <f>IF(COUNTIFS($B$7:B277,B277,$D$7:D277,D277)=1,1,0)</f>
        <v>1</v>
      </c>
    </row>
    <row r="278" spans="1:9" ht="22.95" customHeight="1">
      <c r="A278" s="1" t="s">
        <v>1055</v>
      </c>
      <c r="B278" s="1" t="s">
        <v>1053</v>
      </c>
      <c r="C278" s="1" t="s">
        <v>1054</v>
      </c>
      <c r="D278" s="1" t="s">
        <v>93</v>
      </c>
      <c r="E278" s="1" t="s">
        <v>94</v>
      </c>
      <c r="F278" s="1" t="s">
        <v>10</v>
      </c>
      <c r="G278" s="9" t="s">
        <v>1056</v>
      </c>
      <c r="H278" s="1" t="s">
        <v>94</v>
      </c>
      <c r="I278" s="10">
        <f>IF(COUNTIFS($B$7:B278,B278,$D$7:D278,D278)=1,1,0)</f>
        <v>1</v>
      </c>
    </row>
    <row r="279" spans="1:9" ht="22.95" customHeight="1">
      <c r="A279" s="1" t="s">
        <v>1057</v>
      </c>
      <c r="B279" s="1" t="s">
        <v>1053</v>
      </c>
      <c r="C279" s="1" t="s">
        <v>1054</v>
      </c>
      <c r="D279" s="1" t="s">
        <v>27</v>
      </c>
      <c r="E279" s="1" t="s">
        <v>28</v>
      </c>
      <c r="F279" s="1" t="s">
        <v>11</v>
      </c>
      <c r="G279" s="9" t="s">
        <v>426</v>
      </c>
      <c r="H279" s="1" t="s">
        <v>28</v>
      </c>
      <c r="I279" s="10">
        <f>IF(COUNTIFS($B$7:B279,B279,$D$7:D279,D279)=1,1,0)</f>
        <v>1</v>
      </c>
    </row>
    <row r="280" spans="1:9" ht="22.95" customHeight="1">
      <c r="A280" s="1" t="s">
        <v>1058</v>
      </c>
      <c r="B280" s="1" t="s">
        <v>1059</v>
      </c>
      <c r="C280" s="1" t="s">
        <v>1060</v>
      </c>
      <c r="D280" s="1" t="s">
        <v>217</v>
      </c>
      <c r="E280" s="1" t="s">
        <v>218</v>
      </c>
      <c r="F280" s="1" t="s">
        <v>421</v>
      </c>
      <c r="G280" s="9" t="s">
        <v>1061</v>
      </c>
      <c r="H280" s="1" t="s">
        <v>218</v>
      </c>
      <c r="I280" s="10">
        <f>IF(COUNTIFS($B$7:B280,B280,$D$7:D280,D280)=1,1,0)</f>
        <v>1</v>
      </c>
    </row>
    <row r="281" spans="1:9" ht="22.95" customHeight="1">
      <c r="A281" s="1" t="s">
        <v>1062</v>
      </c>
      <c r="B281" s="1" t="s">
        <v>1059</v>
      </c>
      <c r="C281" s="1" t="s">
        <v>1060</v>
      </c>
      <c r="D281" s="1" t="s">
        <v>35</v>
      </c>
      <c r="E281" s="1" t="s">
        <v>36</v>
      </c>
      <c r="F281" s="1" t="s">
        <v>10</v>
      </c>
      <c r="G281" s="9" t="s">
        <v>430</v>
      </c>
      <c r="H281" s="1" t="s">
        <v>36</v>
      </c>
      <c r="I281" s="10">
        <f>IF(COUNTIFS($B$7:B281,B281,$D$7:D281,D281)=1,1,0)</f>
        <v>1</v>
      </c>
    </row>
    <row r="282" spans="1:9" ht="22.95" customHeight="1">
      <c r="A282" s="1" t="s">
        <v>1063</v>
      </c>
      <c r="B282" s="1" t="s">
        <v>1059</v>
      </c>
      <c r="C282" s="1" t="s">
        <v>1060</v>
      </c>
      <c r="D282" s="1" t="s">
        <v>53</v>
      </c>
      <c r="E282" s="1" t="s">
        <v>54</v>
      </c>
      <c r="F282" s="1" t="s">
        <v>11</v>
      </c>
      <c r="G282" s="9" t="s">
        <v>1064</v>
      </c>
      <c r="H282" s="1" t="s">
        <v>54</v>
      </c>
      <c r="I282" s="10">
        <f>IF(COUNTIFS($B$7:B282,B282,$D$7:D282,D282)=1,1,0)</f>
        <v>1</v>
      </c>
    </row>
    <row r="283" spans="1:9" ht="22.95" customHeight="1">
      <c r="A283" s="1" t="s">
        <v>1065</v>
      </c>
      <c r="B283" s="1" t="s">
        <v>1066</v>
      </c>
      <c r="C283" s="1" t="s">
        <v>1067</v>
      </c>
      <c r="D283" s="1" t="s">
        <v>41</v>
      </c>
      <c r="E283" s="1" t="s">
        <v>42</v>
      </c>
      <c r="F283" s="1" t="s">
        <v>421</v>
      </c>
      <c r="G283" s="9" t="s">
        <v>864</v>
      </c>
      <c r="H283" s="1" t="s">
        <v>42</v>
      </c>
      <c r="I283" s="10">
        <f>IF(COUNTIFS($B$7:B283,B283,$D$7:D283,D283)=1,1,0)</f>
        <v>1</v>
      </c>
    </row>
    <row r="284" spans="1:9" ht="22.95" customHeight="1">
      <c r="A284" s="1" t="s">
        <v>1068</v>
      </c>
      <c r="B284" s="1" t="s">
        <v>1066</v>
      </c>
      <c r="C284" s="1" t="s">
        <v>1067</v>
      </c>
      <c r="D284" s="1" t="s">
        <v>37</v>
      </c>
      <c r="E284" s="1" t="s">
        <v>38</v>
      </c>
      <c r="F284" s="1" t="s">
        <v>10</v>
      </c>
      <c r="G284" s="9" t="s">
        <v>965</v>
      </c>
      <c r="H284" s="1" t="s">
        <v>38</v>
      </c>
      <c r="I284" s="10">
        <f>IF(COUNTIFS($B$7:B284,B284,$D$7:D284,D284)=1,1,0)</f>
        <v>1</v>
      </c>
    </row>
    <row r="285" spans="1:9" ht="22.95" customHeight="1">
      <c r="A285" s="1" t="s">
        <v>1069</v>
      </c>
      <c r="B285" s="1" t="s">
        <v>1066</v>
      </c>
      <c r="C285" s="1" t="s">
        <v>1067</v>
      </c>
      <c r="D285" s="1" t="s">
        <v>27</v>
      </c>
      <c r="E285" s="1" t="s">
        <v>28</v>
      </c>
      <c r="F285" s="1" t="s">
        <v>11</v>
      </c>
      <c r="G285" s="9" t="s">
        <v>426</v>
      </c>
      <c r="H285" s="1" t="s">
        <v>28</v>
      </c>
      <c r="I285" s="10">
        <f>IF(COUNTIFS($B$7:B285,B285,$D$7:D285,D285)=1,1,0)</f>
        <v>1</v>
      </c>
    </row>
    <row r="286" spans="1:9" ht="22.95" customHeight="1">
      <c r="A286" s="1" t="s">
        <v>1070</v>
      </c>
      <c r="B286" s="1" t="s">
        <v>1071</v>
      </c>
      <c r="C286" s="1" t="s">
        <v>1072</v>
      </c>
      <c r="D286" s="1" t="s">
        <v>81</v>
      </c>
      <c r="E286" s="1" t="s">
        <v>82</v>
      </c>
      <c r="F286" s="1" t="s">
        <v>421</v>
      </c>
      <c r="G286" s="9" t="s">
        <v>777</v>
      </c>
      <c r="H286" s="1" t="s">
        <v>82</v>
      </c>
      <c r="I286" s="10">
        <f>IF(COUNTIFS($B$7:B286,B286,$D$7:D286,D286)=1,1,0)</f>
        <v>1</v>
      </c>
    </row>
    <row r="287" spans="1:9" ht="22.95" customHeight="1">
      <c r="A287" s="1" t="s">
        <v>1073</v>
      </c>
      <c r="B287" s="1" t="s">
        <v>1071</v>
      </c>
      <c r="C287" s="1" t="s">
        <v>1072</v>
      </c>
      <c r="D287" s="1" t="s">
        <v>309</v>
      </c>
      <c r="E287" s="1" t="s">
        <v>310</v>
      </c>
      <c r="F287" s="1" t="s">
        <v>10</v>
      </c>
      <c r="G287" s="9" t="s">
        <v>1074</v>
      </c>
      <c r="H287" s="1" t="s">
        <v>310</v>
      </c>
      <c r="I287" s="10">
        <f>IF(COUNTIFS($B$7:B287,B287,$D$7:D287,D287)=1,1,0)</f>
        <v>1</v>
      </c>
    </row>
    <row r="288" spans="1:9" ht="22.95" customHeight="1">
      <c r="A288" s="1" t="s">
        <v>1075</v>
      </c>
      <c r="B288" s="1" t="s">
        <v>1071</v>
      </c>
      <c r="C288" s="1" t="s">
        <v>1072</v>
      </c>
      <c r="D288" s="1" t="s">
        <v>103</v>
      </c>
      <c r="E288" s="1" t="s">
        <v>104</v>
      </c>
      <c r="F288" s="1" t="s">
        <v>11</v>
      </c>
      <c r="G288" s="9" t="s">
        <v>1076</v>
      </c>
      <c r="H288" s="1" t="s">
        <v>104</v>
      </c>
      <c r="I288" s="10">
        <f>IF(COUNTIFS($B$7:B288,B288,$D$7:D288,D288)=1,1,0)</f>
        <v>1</v>
      </c>
    </row>
    <row r="289" spans="1:9" ht="22.95" customHeight="1">
      <c r="A289" s="1" t="s">
        <v>1077</v>
      </c>
      <c r="B289" s="1" t="s">
        <v>1078</v>
      </c>
      <c r="C289" s="1" t="s">
        <v>1079</v>
      </c>
      <c r="D289" s="1" t="s">
        <v>165</v>
      </c>
      <c r="E289" s="1" t="s">
        <v>166</v>
      </c>
      <c r="F289" s="1" t="s">
        <v>421</v>
      </c>
      <c r="G289" s="9" t="s">
        <v>1080</v>
      </c>
      <c r="H289" s="1" t="s">
        <v>166</v>
      </c>
      <c r="I289" s="10">
        <f>IF(COUNTIFS($B$7:B289,B289,$D$7:D289,D289)=1,1,0)</f>
        <v>1</v>
      </c>
    </row>
    <row r="290" spans="1:9" ht="22.95" customHeight="1">
      <c r="A290" s="1" t="s">
        <v>1081</v>
      </c>
      <c r="B290" s="1" t="s">
        <v>1078</v>
      </c>
      <c r="C290" s="1" t="s">
        <v>1079</v>
      </c>
      <c r="D290" s="1" t="s">
        <v>27</v>
      </c>
      <c r="E290" s="1" t="s">
        <v>28</v>
      </c>
      <c r="F290" s="1" t="s">
        <v>10</v>
      </c>
      <c r="G290" s="9" t="s">
        <v>426</v>
      </c>
      <c r="H290" s="1" t="s">
        <v>28</v>
      </c>
      <c r="I290" s="10">
        <f>IF(COUNTIFS($B$7:B290,B290,$D$7:D290,D290)=1,1,0)</f>
        <v>1</v>
      </c>
    </row>
    <row r="291" spans="1:9" ht="22.95" customHeight="1">
      <c r="A291" s="1" t="s">
        <v>1082</v>
      </c>
      <c r="B291" s="1" t="s">
        <v>1078</v>
      </c>
      <c r="C291" s="1" t="s">
        <v>1079</v>
      </c>
      <c r="D291" s="1" t="s">
        <v>51</v>
      </c>
      <c r="E291" s="1" t="s">
        <v>52</v>
      </c>
      <c r="F291" s="1" t="s">
        <v>11</v>
      </c>
      <c r="G291" s="9" t="s">
        <v>555</v>
      </c>
      <c r="H291" s="1" t="s">
        <v>946</v>
      </c>
      <c r="I291" s="10">
        <f>IF(COUNTIFS($B$7:B291,B291,$D$7:D291,D291)=1,1,0)</f>
        <v>1</v>
      </c>
    </row>
    <row r="292" spans="1:9" ht="22.95" customHeight="1">
      <c r="A292" s="1" t="s">
        <v>1083</v>
      </c>
      <c r="B292" s="1" t="s">
        <v>1084</v>
      </c>
      <c r="C292" s="1" t="s">
        <v>1085</v>
      </c>
      <c r="D292" s="1" t="s">
        <v>295</v>
      </c>
      <c r="E292" s="1" t="s">
        <v>296</v>
      </c>
      <c r="F292" s="1" t="s">
        <v>421</v>
      </c>
      <c r="G292" s="9" t="s">
        <v>1086</v>
      </c>
      <c r="H292" s="1" t="s">
        <v>296</v>
      </c>
      <c r="I292" s="10">
        <f>IF(COUNTIFS($B$7:B292,B292,$D$7:D292,D292)=1,1,0)</f>
        <v>1</v>
      </c>
    </row>
    <row r="293" spans="1:9" ht="22.95" customHeight="1">
      <c r="A293" s="1" t="s">
        <v>1087</v>
      </c>
      <c r="B293" s="1" t="s">
        <v>1084</v>
      </c>
      <c r="C293" s="1" t="s">
        <v>1085</v>
      </c>
      <c r="D293" s="1" t="s">
        <v>83</v>
      </c>
      <c r="E293" s="1" t="s">
        <v>84</v>
      </c>
      <c r="F293" s="1" t="s">
        <v>10</v>
      </c>
      <c r="G293" s="9" t="s">
        <v>1088</v>
      </c>
      <c r="H293" s="1" t="s">
        <v>84</v>
      </c>
      <c r="I293" s="10">
        <f>IF(COUNTIFS($B$7:B293,B293,$D$7:D293,D293)=1,1,0)</f>
        <v>1</v>
      </c>
    </row>
    <row r="294" spans="1:9" ht="22.95" customHeight="1">
      <c r="A294" s="1" t="s">
        <v>1089</v>
      </c>
      <c r="B294" s="1" t="s">
        <v>1084</v>
      </c>
      <c r="C294" s="1" t="s">
        <v>1085</v>
      </c>
      <c r="D294" s="1" t="s">
        <v>377</v>
      </c>
      <c r="E294" s="1" t="s">
        <v>378</v>
      </c>
      <c r="F294" s="1" t="s">
        <v>11</v>
      </c>
      <c r="G294" s="9" t="s">
        <v>1090</v>
      </c>
      <c r="H294" s="1" t="s">
        <v>378</v>
      </c>
      <c r="I294" s="10">
        <f>IF(COUNTIFS($B$7:B294,B294,$D$7:D294,D294)=1,1,0)</f>
        <v>1</v>
      </c>
    </row>
    <row r="295" spans="1:9" ht="22.95" customHeight="1">
      <c r="A295" s="1" t="s">
        <v>1091</v>
      </c>
      <c r="B295" s="1" t="s">
        <v>1092</v>
      </c>
      <c r="C295" s="1" t="s">
        <v>1093</v>
      </c>
      <c r="D295" s="1" t="s">
        <v>77</v>
      </c>
      <c r="E295" s="1" t="s">
        <v>78</v>
      </c>
      <c r="F295" s="1" t="s">
        <v>421</v>
      </c>
      <c r="G295" s="9" t="s">
        <v>1094</v>
      </c>
      <c r="H295" s="1" t="s">
        <v>78</v>
      </c>
      <c r="I295" s="10">
        <f>IF(COUNTIFS($B$7:B295,B295,$D$7:D295,D295)=1,1,0)</f>
        <v>1</v>
      </c>
    </row>
    <row r="296" spans="1:9" ht="22.95" customHeight="1">
      <c r="A296" s="1" t="s">
        <v>1095</v>
      </c>
      <c r="B296" s="1" t="s">
        <v>1092</v>
      </c>
      <c r="C296" s="1" t="s">
        <v>1093</v>
      </c>
      <c r="D296" s="1" t="s">
        <v>267</v>
      </c>
      <c r="E296" s="1" t="s">
        <v>268</v>
      </c>
      <c r="F296" s="1" t="s">
        <v>10</v>
      </c>
      <c r="G296" s="9" t="s">
        <v>1096</v>
      </c>
      <c r="H296" s="1" t="s">
        <v>268</v>
      </c>
      <c r="I296" s="10">
        <f>IF(COUNTIFS($B$7:B296,B296,$D$7:D296,D296)=1,1,0)</f>
        <v>1</v>
      </c>
    </row>
    <row r="297" spans="1:9" ht="22.95" customHeight="1">
      <c r="A297" s="1" t="s">
        <v>1097</v>
      </c>
      <c r="B297" s="1" t="s">
        <v>1092</v>
      </c>
      <c r="C297" s="1" t="s">
        <v>1093</v>
      </c>
      <c r="D297" s="1" t="s">
        <v>27</v>
      </c>
      <c r="E297" s="1" t="s">
        <v>28</v>
      </c>
      <c r="F297" s="1" t="s">
        <v>11</v>
      </c>
      <c r="G297" s="9" t="s">
        <v>426</v>
      </c>
      <c r="H297" s="1" t="s">
        <v>28</v>
      </c>
      <c r="I297" s="10">
        <f>IF(COUNTIFS($B$7:B297,B297,$D$7:D297,D297)=1,1,0)</f>
        <v>1</v>
      </c>
    </row>
    <row r="298" spans="1:9" ht="22.95" customHeight="1">
      <c r="A298" s="1" t="s">
        <v>1098</v>
      </c>
      <c r="B298" s="1" t="s">
        <v>1099</v>
      </c>
      <c r="C298" s="1" t="s">
        <v>1100</v>
      </c>
      <c r="D298" s="1" t="s">
        <v>131</v>
      </c>
      <c r="E298" s="1" t="s">
        <v>132</v>
      </c>
      <c r="F298" s="1" t="s">
        <v>421</v>
      </c>
      <c r="G298" s="9" t="s">
        <v>1101</v>
      </c>
      <c r="H298" s="1" t="s">
        <v>132</v>
      </c>
      <c r="I298" s="10">
        <f>IF(COUNTIFS($B$7:B298,B298,$D$7:D298,D298)=1,1,0)</f>
        <v>1</v>
      </c>
    </row>
    <row r="299" spans="1:9" ht="22.95" customHeight="1">
      <c r="A299" s="1" t="s">
        <v>1102</v>
      </c>
      <c r="B299" s="1" t="s">
        <v>1099</v>
      </c>
      <c r="C299" s="1" t="s">
        <v>1100</v>
      </c>
      <c r="D299" s="1" t="s">
        <v>27</v>
      </c>
      <c r="E299" s="1" t="s">
        <v>28</v>
      </c>
      <c r="F299" s="1" t="s">
        <v>10</v>
      </c>
      <c r="G299" s="9" t="s">
        <v>426</v>
      </c>
      <c r="H299" s="1" t="s">
        <v>28</v>
      </c>
      <c r="I299" s="10">
        <f>IF(COUNTIFS($B$7:B299,B299,$D$7:D299,D299)=1,1,0)</f>
        <v>1</v>
      </c>
    </row>
    <row r="300" spans="1:9" ht="22.95" customHeight="1">
      <c r="A300" s="1" t="s">
        <v>1103</v>
      </c>
      <c r="B300" s="1" t="s">
        <v>1099</v>
      </c>
      <c r="C300" s="1" t="s">
        <v>1100</v>
      </c>
      <c r="D300" s="1" t="s">
        <v>335</v>
      </c>
      <c r="E300" s="1" t="s">
        <v>336</v>
      </c>
      <c r="F300" s="1" t="s">
        <v>11</v>
      </c>
      <c r="G300" s="9" t="s">
        <v>1104</v>
      </c>
      <c r="H300" s="1" t="s">
        <v>336</v>
      </c>
      <c r="I300" s="10">
        <f>IF(COUNTIFS($B$7:B300,B300,$D$7:D300,D300)=1,1,0)</f>
        <v>1</v>
      </c>
    </row>
    <row r="301" spans="1:9" ht="22.95" customHeight="1">
      <c r="A301" s="1" t="s">
        <v>1105</v>
      </c>
      <c r="B301" s="1" t="s">
        <v>1106</v>
      </c>
      <c r="C301" s="1" t="s">
        <v>1107</v>
      </c>
      <c r="D301" s="1" t="s">
        <v>221</v>
      </c>
      <c r="E301" s="1" t="s">
        <v>222</v>
      </c>
      <c r="F301" s="1" t="s">
        <v>421</v>
      </c>
      <c r="G301" s="9" t="s">
        <v>1108</v>
      </c>
      <c r="H301" s="1" t="s">
        <v>222</v>
      </c>
      <c r="I301" s="10">
        <f>IF(COUNTIFS($B$7:B301,B301,$D$7:D301,D301)=1,1,0)</f>
        <v>1</v>
      </c>
    </row>
    <row r="302" spans="1:9" ht="22.95" customHeight="1">
      <c r="A302" s="1" t="s">
        <v>1109</v>
      </c>
      <c r="B302" s="1" t="s">
        <v>1106</v>
      </c>
      <c r="C302" s="1" t="s">
        <v>1107</v>
      </c>
      <c r="D302" s="1" t="s">
        <v>27</v>
      </c>
      <c r="E302" s="1" t="s">
        <v>28</v>
      </c>
      <c r="F302" s="1" t="s">
        <v>10</v>
      </c>
      <c r="G302" s="9" t="s">
        <v>426</v>
      </c>
      <c r="H302" s="1" t="s">
        <v>28</v>
      </c>
      <c r="I302" s="10">
        <f>IF(COUNTIFS($B$7:B302,B302,$D$7:D302,D302)=1,1,0)</f>
        <v>1</v>
      </c>
    </row>
    <row r="303" spans="1:9" ht="22.95" customHeight="1">
      <c r="A303" s="1" t="s">
        <v>1110</v>
      </c>
      <c r="B303" s="1" t="s">
        <v>1106</v>
      </c>
      <c r="C303" s="1" t="s">
        <v>1107</v>
      </c>
      <c r="D303" s="1" t="s">
        <v>61</v>
      </c>
      <c r="E303" s="1" t="s">
        <v>62</v>
      </c>
      <c r="F303" s="1" t="s">
        <v>11</v>
      </c>
      <c r="G303" s="9" t="s">
        <v>1029</v>
      </c>
      <c r="H303" s="1" t="s">
        <v>1030</v>
      </c>
      <c r="I303" s="10">
        <f>IF(COUNTIFS($B$7:B303,B303,$D$7:D303,D303)=1,1,0)</f>
        <v>1</v>
      </c>
    </row>
    <row r="304" spans="1:9" ht="22.95" customHeight="1">
      <c r="A304" s="1" t="s">
        <v>1111</v>
      </c>
      <c r="B304" s="1" t="s">
        <v>1112</v>
      </c>
      <c r="C304" s="1" t="s">
        <v>1113</v>
      </c>
      <c r="D304" s="1" t="s">
        <v>77</v>
      </c>
      <c r="E304" s="1" t="s">
        <v>78</v>
      </c>
      <c r="F304" s="1" t="s">
        <v>421</v>
      </c>
      <c r="G304" s="9" t="s">
        <v>1114</v>
      </c>
      <c r="H304" s="1" t="s">
        <v>78</v>
      </c>
      <c r="I304" s="10">
        <f>IF(COUNTIFS($B$7:B304,B304,$D$7:D304,D304)=1,1,0)</f>
        <v>1</v>
      </c>
    </row>
    <row r="305" spans="1:9" ht="22.95" customHeight="1">
      <c r="A305" s="1" t="s">
        <v>1115</v>
      </c>
      <c r="B305" s="1" t="s">
        <v>1112</v>
      </c>
      <c r="C305" s="1" t="s">
        <v>1113</v>
      </c>
      <c r="D305" s="1" t="s">
        <v>291</v>
      </c>
      <c r="E305" s="1" t="s">
        <v>292</v>
      </c>
      <c r="F305" s="1" t="s">
        <v>10</v>
      </c>
      <c r="G305" s="9" t="s">
        <v>1116</v>
      </c>
      <c r="H305" s="1" t="s">
        <v>292</v>
      </c>
      <c r="I305" s="10">
        <f>IF(COUNTIFS($B$7:B305,B305,$D$7:D305,D305)=1,1,0)</f>
        <v>1</v>
      </c>
    </row>
    <row r="306" spans="1:9" ht="22.95" customHeight="1">
      <c r="A306" s="1" t="s">
        <v>1117</v>
      </c>
      <c r="B306" s="1" t="s">
        <v>1112</v>
      </c>
      <c r="C306" s="1" t="s">
        <v>1113</v>
      </c>
      <c r="D306" s="1" t="s">
        <v>365</v>
      </c>
      <c r="E306" s="1" t="s">
        <v>366</v>
      </c>
      <c r="F306" s="1" t="s">
        <v>11</v>
      </c>
      <c r="G306" s="9" t="s">
        <v>1118</v>
      </c>
      <c r="H306" s="1" t="s">
        <v>366</v>
      </c>
      <c r="I306" s="10">
        <f>IF(COUNTIFS($B$7:B306,B306,$D$7:D306,D306)=1,1,0)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12" customWidth="1"/>
    <col min="2" max="5" width="27" customWidth="1"/>
    <col min="6" max="7" width="24" customWidth="1"/>
    <col min="8" max="10" width="32" customWidth="1"/>
  </cols>
  <sheetData>
    <row r="1" spans="1:10" ht="22.9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2.95" customHeight="1">
      <c r="A2" s="2" t="s">
        <v>1119</v>
      </c>
      <c r="B2" s="1"/>
      <c r="C2" s="1"/>
      <c r="D2" s="1"/>
      <c r="E2" s="1"/>
      <c r="F2" s="1"/>
      <c r="G2" s="1"/>
      <c r="H2" s="1"/>
      <c r="I2" s="1"/>
      <c r="J2" s="1"/>
    </row>
    <row r="3" spans="1:10" ht="22.9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2.95" customHeight="1">
      <c r="A4" s="4" t="s">
        <v>1120</v>
      </c>
      <c r="B4" s="1"/>
      <c r="C4" s="1"/>
      <c r="D4" s="1"/>
      <c r="E4" s="1"/>
      <c r="F4" s="1"/>
      <c r="G4" s="1"/>
      <c r="H4" s="1"/>
      <c r="I4" s="1"/>
      <c r="J4" s="1"/>
    </row>
    <row r="5" spans="1:10" ht="22.95" customHeight="1">
      <c r="A5" s="5" t="s">
        <v>1121</v>
      </c>
      <c r="B5" s="1"/>
      <c r="C5" s="1"/>
      <c r="D5" s="1"/>
      <c r="E5" s="1"/>
      <c r="F5" s="1"/>
      <c r="G5" s="1"/>
      <c r="H5" s="1"/>
      <c r="I5" s="1"/>
      <c r="J5" s="1"/>
    </row>
    <row r="6" spans="1:10" ht="34.049999999999997" customHeight="1">
      <c r="A6" s="6" t="s">
        <v>412</v>
      </c>
      <c r="B6" s="6" t="s">
        <v>413</v>
      </c>
      <c r="C6" s="6" t="s">
        <v>9</v>
      </c>
      <c r="D6" s="6" t="s">
        <v>10</v>
      </c>
      <c r="E6" s="6" t="s">
        <v>11</v>
      </c>
      <c r="F6" s="6" t="s">
        <v>1122</v>
      </c>
      <c r="G6" s="6" t="s">
        <v>13</v>
      </c>
      <c r="H6" s="6" t="s">
        <v>1123</v>
      </c>
      <c r="I6" s="6" t="s">
        <v>1124</v>
      </c>
      <c r="J6" s="6" t="s">
        <v>1125</v>
      </c>
    </row>
    <row r="7" spans="1:10" ht="22.95" customHeight="1">
      <c r="A7" s="1" t="s">
        <v>419</v>
      </c>
      <c r="B7" s="1" t="s">
        <v>420</v>
      </c>
      <c r="C7" s="1" t="s">
        <v>30</v>
      </c>
      <c r="D7" s="1" t="s">
        <v>34</v>
      </c>
      <c r="E7" s="1" t="s">
        <v>28</v>
      </c>
      <c r="F7" s="7">
        <v>0.43</v>
      </c>
      <c r="G7" s="1" t="s">
        <v>1126</v>
      </c>
      <c r="H7" s="8"/>
      <c r="I7" s="8"/>
      <c r="J7" s="8"/>
    </row>
    <row r="8" spans="1:10" ht="22.95" customHeight="1">
      <c r="A8" s="1" t="s">
        <v>428</v>
      </c>
      <c r="B8" s="1" t="s">
        <v>429</v>
      </c>
      <c r="C8" s="1" t="s">
        <v>36</v>
      </c>
      <c r="D8" s="1" t="s">
        <v>54</v>
      </c>
      <c r="E8" s="1" t="s">
        <v>350</v>
      </c>
      <c r="F8" s="7">
        <v>0.55000000000000004</v>
      </c>
      <c r="G8" s="1" t="s">
        <v>1126</v>
      </c>
      <c r="H8" s="8"/>
      <c r="I8" s="8"/>
      <c r="J8" s="8"/>
    </row>
    <row r="9" spans="1:10" ht="22.95" customHeight="1">
      <c r="A9" s="1" t="s">
        <v>436</v>
      </c>
      <c r="B9" s="1" t="s">
        <v>437</v>
      </c>
      <c r="C9" s="1" t="s">
        <v>28</v>
      </c>
      <c r="D9" s="1" t="s">
        <v>46</v>
      </c>
      <c r="E9" s="1" t="s">
        <v>330</v>
      </c>
      <c r="F9" s="7">
        <v>0.32</v>
      </c>
      <c r="G9" s="1" t="s">
        <v>1126</v>
      </c>
      <c r="H9" s="8"/>
      <c r="I9" s="8"/>
      <c r="J9" s="8"/>
    </row>
    <row r="10" spans="1:10" ht="22.95" customHeight="1">
      <c r="A10" s="1" t="s">
        <v>443</v>
      </c>
      <c r="B10" s="1" t="s">
        <v>444</v>
      </c>
      <c r="C10" s="1" t="s">
        <v>278</v>
      </c>
      <c r="D10" s="1" t="s">
        <v>66</v>
      </c>
      <c r="E10" s="1" t="s">
        <v>306</v>
      </c>
      <c r="F10" s="7">
        <v>0.31</v>
      </c>
      <c r="G10" s="1" t="s">
        <v>1126</v>
      </c>
      <c r="H10" s="8"/>
      <c r="I10" s="8"/>
      <c r="J10" s="8"/>
    </row>
    <row r="11" spans="1:10" ht="22.95" customHeight="1">
      <c r="A11" s="1" t="s">
        <v>451</v>
      </c>
      <c r="B11" s="1" t="s">
        <v>8</v>
      </c>
      <c r="C11" s="1" t="s">
        <v>294</v>
      </c>
      <c r="D11" s="1" t="s">
        <v>34</v>
      </c>
      <c r="E11" s="1" t="s">
        <v>290</v>
      </c>
      <c r="F11" s="7">
        <v>0.47</v>
      </c>
      <c r="G11" s="1" t="s">
        <v>1126</v>
      </c>
      <c r="H11" s="8"/>
      <c r="I11" s="8"/>
      <c r="J11" s="8"/>
    </row>
    <row r="12" spans="1:10" ht="22.95" customHeight="1">
      <c r="A12" s="1" t="s">
        <v>457</v>
      </c>
      <c r="B12" s="1" t="s">
        <v>458</v>
      </c>
      <c r="C12" s="1" t="s">
        <v>28</v>
      </c>
      <c r="D12" s="1" t="s">
        <v>30</v>
      </c>
      <c r="E12" s="1" t="s">
        <v>32</v>
      </c>
      <c r="F12" s="7">
        <v>0.28999999999999998</v>
      </c>
      <c r="G12" s="1" t="s">
        <v>1126</v>
      </c>
      <c r="H12" s="8"/>
      <c r="I12" s="8"/>
      <c r="J12" s="8"/>
    </row>
    <row r="13" spans="1:10" ht="22.95" customHeight="1">
      <c r="A13" s="1" t="s">
        <v>463</v>
      </c>
      <c r="B13" s="1" t="s">
        <v>464</v>
      </c>
      <c r="C13" s="1" t="s">
        <v>282</v>
      </c>
      <c r="D13" s="1" t="s">
        <v>212</v>
      </c>
      <c r="E13" s="1" t="s">
        <v>34</v>
      </c>
      <c r="F13" s="7">
        <v>0.24</v>
      </c>
      <c r="G13" s="1" t="s">
        <v>1126</v>
      </c>
      <c r="H13" s="8"/>
      <c r="I13" s="8"/>
      <c r="J13" s="8"/>
    </row>
    <row r="14" spans="1:10" ht="22.95" customHeight="1">
      <c r="A14" s="1" t="s">
        <v>470</v>
      </c>
      <c r="B14" s="1" t="s">
        <v>471</v>
      </c>
      <c r="C14" s="1" t="s">
        <v>320</v>
      </c>
      <c r="D14" s="1" t="s">
        <v>244</v>
      </c>
      <c r="E14" s="1" t="s">
        <v>28</v>
      </c>
      <c r="F14" s="7">
        <v>0.2</v>
      </c>
      <c r="G14" s="1" t="s">
        <v>1126</v>
      </c>
      <c r="H14" s="8"/>
      <c r="I14" s="8"/>
      <c r="J14" s="8"/>
    </row>
    <row r="15" spans="1:10" ht="22.95" customHeight="1">
      <c r="A15" s="1" t="s">
        <v>477</v>
      </c>
      <c r="B15" s="1" t="s">
        <v>478</v>
      </c>
      <c r="C15" s="1" t="s">
        <v>190</v>
      </c>
      <c r="D15" s="1" t="s">
        <v>30</v>
      </c>
      <c r="E15" s="1" t="s">
        <v>34</v>
      </c>
      <c r="F15" s="7">
        <v>0.35</v>
      </c>
      <c r="G15" s="1" t="s">
        <v>1126</v>
      </c>
      <c r="H15" s="8"/>
      <c r="I15" s="8"/>
      <c r="J15" s="8"/>
    </row>
    <row r="16" spans="1:10" ht="22.95" customHeight="1">
      <c r="A16" s="1" t="s">
        <v>483</v>
      </c>
      <c r="B16" s="1" t="s">
        <v>484</v>
      </c>
      <c r="C16" s="1" t="s">
        <v>264</v>
      </c>
      <c r="D16" s="1" t="s">
        <v>48</v>
      </c>
      <c r="E16" s="1" t="s">
        <v>28</v>
      </c>
      <c r="F16" s="7">
        <v>0.6</v>
      </c>
      <c r="G16" s="1" t="s">
        <v>1126</v>
      </c>
      <c r="H16" s="8"/>
      <c r="I16" s="8"/>
      <c r="J16" s="8"/>
    </row>
    <row r="17" spans="1:10" ht="22.95" customHeight="1">
      <c r="A17" s="1" t="s">
        <v>490</v>
      </c>
      <c r="B17" s="1" t="s">
        <v>491</v>
      </c>
      <c r="C17" s="1" t="s">
        <v>80</v>
      </c>
      <c r="D17" s="1" t="s">
        <v>302</v>
      </c>
      <c r="E17" s="1" t="s">
        <v>374</v>
      </c>
      <c r="F17" s="7">
        <v>0.25</v>
      </c>
      <c r="G17" s="1" t="s">
        <v>1126</v>
      </c>
      <c r="H17" s="8"/>
      <c r="I17" s="8"/>
      <c r="J17" s="8"/>
    </row>
    <row r="18" spans="1:10" ht="22.95" customHeight="1">
      <c r="A18" s="1" t="s">
        <v>498</v>
      </c>
      <c r="B18" s="1" t="s">
        <v>499</v>
      </c>
      <c r="C18" s="1" t="s">
        <v>202</v>
      </c>
      <c r="D18" s="1" t="s">
        <v>50</v>
      </c>
      <c r="E18" s="1" t="s">
        <v>240</v>
      </c>
      <c r="F18" s="7">
        <v>0.2</v>
      </c>
      <c r="G18" s="1" t="s">
        <v>1126</v>
      </c>
      <c r="H18" s="8"/>
      <c r="I18" s="8"/>
      <c r="J18" s="8"/>
    </row>
    <row r="19" spans="1:10" ht="22.95" customHeight="1">
      <c r="A19" s="1" t="s">
        <v>506</v>
      </c>
      <c r="B19" s="1" t="s">
        <v>507</v>
      </c>
      <c r="C19" s="1" t="s">
        <v>56</v>
      </c>
      <c r="D19" s="1" t="s">
        <v>392</v>
      </c>
      <c r="E19" s="1" t="s">
        <v>28</v>
      </c>
      <c r="F19" s="7">
        <v>0.23</v>
      </c>
      <c r="G19" s="1" t="s">
        <v>1126</v>
      </c>
      <c r="H19" s="8"/>
      <c r="I19" s="8"/>
      <c r="J19" s="8"/>
    </row>
    <row r="20" spans="1:10" ht="22.95" customHeight="1">
      <c r="A20" s="1" t="s">
        <v>513</v>
      </c>
      <c r="B20" s="1" t="s">
        <v>514</v>
      </c>
      <c r="C20" s="1" t="s">
        <v>140</v>
      </c>
      <c r="D20" s="1" t="s">
        <v>28</v>
      </c>
      <c r="E20" s="1" t="s">
        <v>30</v>
      </c>
      <c r="F20" s="7">
        <v>0.42</v>
      </c>
      <c r="G20" s="1" t="s">
        <v>1126</v>
      </c>
      <c r="H20" s="8"/>
      <c r="I20" s="8"/>
      <c r="J20" s="8"/>
    </row>
    <row r="21" spans="1:10" ht="22.95" customHeight="1">
      <c r="A21" s="1" t="s">
        <v>520</v>
      </c>
      <c r="B21" s="1" t="s">
        <v>521</v>
      </c>
      <c r="C21" s="1" t="s">
        <v>50</v>
      </c>
      <c r="D21" s="1" t="s">
        <v>48</v>
      </c>
      <c r="E21" s="1" t="s">
        <v>28</v>
      </c>
      <c r="F21" s="7">
        <v>0.3</v>
      </c>
      <c r="G21" s="1" t="s">
        <v>1126</v>
      </c>
      <c r="H21" s="8"/>
      <c r="I21" s="8"/>
      <c r="J21" s="8"/>
    </row>
    <row r="22" spans="1:10" ht="22.95" customHeight="1">
      <c r="A22" s="1" t="s">
        <v>525</v>
      </c>
      <c r="B22" s="1" t="s">
        <v>526</v>
      </c>
      <c r="C22" s="1" t="s">
        <v>250</v>
      </c>
      <c r="D22" s="1" t="s">
        <v>60</v>
      </c>
      <c r="E22" s="1" t="s">
        <v>156</v>
      </c>
      <c r="F22" s="7">
        <v>0.4</v>
      </c>
      <c r="G22" s="1" t="s">
        <v>1126</v>
      </c>
      <c r="H22" s="8"/>
      <c r="I22" s="8"/>
      <c r="J22" s="8"/>
    </row>
    <row r="23" spans="1:10" ht="22.95" customHeight="1">
      <c r="A23" s="1" t="s">
        <v>533</v>
      </c>
      <c r="B23" s="1" t="s">
        <v>534</v>
      </c>
      <c r="C23" s="1" t="s">
        <v>112</v>
      </c>
      <c r="D23" s="1" t="s">
        <v>28</v>
      </c>
      <c r="E23" s="1" t="s">
        <v>188</v>
      </c>
      <c r="F23" s="7">
        <v>0.3</v>
      </c>
      <c r="G23" s="1" t="s">
        <v>1126</v>
      </c>
      <c r="H23" s="8"/>
      <c r="I23" s="8"/>
      <c r="J23" s="8"/>
    </row>
    <row r="24" spans="1:10" ht="22.95" customHeight="1">
      <c r="A24" s="1" t="s">
        <v>540</v>
      </c>
      <c r="B24" s="1" t="s">
        <v>541</v>
      </c>
      <c r="C24" s="1" t="s">
        <v>404</v>
      </c>
      <c r="D24" s="1" t="s">
        <v>28</v>
      </c>
      <c r="E24" s="1" t="s">
        <v>314</v>
      </c>
      <c r="F24" s="7">
        <v>0.5</v>
      </c>
      <c r="G24" s="1" t="s">
        <v>1126</v>
      </c>
      <c r="H24" s="8"/>
      <c r="I24" s="8"/>
      <c r="J24" s="8"/>
    </row>
    <row r="25" spans="1:10" ht="22.95" customHeight="1">
      <c r="A25" s="1" t="s">
        <v>547</v>
      </c>
      <c r="B25" s="1" t="s">
        <v>548</v>
      </c>
      <c r="C25" s="1" t="s">
        <v>316</v>
      </c>
      <c r="D25" s="1" t="s">
        <v>30</v>
      </c>
      <c r="E25" s="1" t="s">
        <v>28</v>
      </c>
      <c r="F25" s="7">
        <v>0.15</v>
      </c>
      <c r="G25" s="1" t="s">
        <v>1126</v>
      </c>
      <c r="H25" s="8"/>
      <c r="I25" s="8"/>
      <c r="J25" s="8"/>
    </row>
    <row r="26" spans="1:10" ht="22.95" customHeight="1">
      <c r="A26" s="1" t="s">
        <v>553</v>
      </c>
      <c r="B26" s="1" t="s">
        <v>554</v>
      </c>
      <c r="C26" s="1" t="s">
        <v>52</v>
      </c>
      <c r="D26" s="1" t="s">
        <v>28</v>
      </c>
      <c r="E26" s="1" t="s">
        <v>30</v>
      </c>
      <c r="F26" s="7">
        <v>0.25</v>
      </c>
      <c r="G26" s="1" t="s">
        <v>1126</v>
      </c>
      <c r="H26" s="8"/>
      <c r="I26" s="8"/>
      <c r="J26" s="8"/>
    </row>
    <row r="27" spans="1:10" ht="22.95" customHeight="1">
      <c r="A27" s="1" t="s">
        <v>559</v>
      </c>
      <c r="B27" s="1" t="s">
        <v>560</v>
      </c>
      <c r="C27" s="1" t="s">
        <v>114</v>
      </c>
      <c r="D27" s="1" t="s">
        <v>32</v>
      </c>
      <c r="E27" s="1" t="s">
        <v>72</v>
      </c>
      <c r="F27" s="7">
        <v>0.44</v>
      </c>
      <c r="G27" s="1" t="s">
        <v>1126</v>
      </c>
      <c r="H27" s="8"/>
      <c r="I27" s="8"/>
      <c r="J27" s="8"/>
    </row>
    <row r="28" spans="1:10" ht="22.95" customHeight="1">
      <c r="A28" s="1" t="s">
        <v>566</v>
      </c>
      <c r="B28" s="1" t="s">
        <v>567</v>
      </c>
      <c r="C28" s="1" t="s">
        <v>66</v>
      </c>
      <c r="D28" s="1" t="s">
        <v>196</v>
      </c>
      <c r="E28" s="1" t="s">
        <v>30</v>
      </c>
      <c r="F28" s="7">
        <v>0.15</v>
      </c>
      <c r="G28" s="1" t="s">
        <v>1126</v>
      </c>
      <c r="H28" s="8"/>
      <c r="I28" s="8"/>
      <c r="J28" s="8"/>
    </row>
    <row r="29" spans="1:10" ht="22.95" customHeight="1">
      <c r="A29" s="1" t="s">
        <v>574</v>
      </c>
      <c r="B29" s="1" t="s">
        <v>575</v>
      </c>
      <c r="C29" s="1" t="s">
        <v>122</v>
      </c>
      <c r="D29" s="1" t="s">
        <v>74</v>
      </c>
      <c r="E29" s="1" t="s">
        <v>28</v>
      </c>
      <c r="F29" s="7">
        <v>0.22</v>
      </c>
      <c r="G29" s="1" t="s">
        <v>1126</v>
      </c>
      <c r="H29" s="8"/>
      <c r="I29" s="8"/>
      <c r="J29" s="8"/>
    </row>
    <row r="30" spans="1:10" ht="22.95" customHeight="1">
      <c r="A30" s="1" t="s">
        <v>581</v>
      </c>
      <c r="B30" s="1" t="s">
        <v>582</v>
      </c>
      <c r="C30" s="1" t="s">
        <v>332</v>
      </c>
      <c r="D30" s="1" t="s">
        <v>46</v>
      </c>
      <c r="E30" s="1" t="s">
        <v>28</v>
      </c>
      <c r="F30" s="7">
        <v>0.5</v>
      </c>
      <c r="G30" s="1" t="s">
        <v>1126</v>
      </c>
      <c r="H30" s="8"/>
      <c r="I30" s="8"/>
      <c r="J30" s="8"/>
    </row>
    <row r="31" spans="1:10" ht="22.95" customHeight="1">
      <c r="A31" s="1" t="s">
        <v>587</v>
      </c>
      <c r="B31" s="1" t="s">
        <v>588</v>
      </c>
      <c r="C31" s="1" t="s">
        <v>48</v>
      </c>
      <c r="D31" s="1" t="s">
        <v>238</v>
      </c>
      <c r="E31" s="1" t="s">
        <v>348</v>
      </c>
      <c r="F31" s="7">
        <v>0.54</v>
      </c>
      <c r="G31" s="1" t="s">
        <v>1126</v>
      </c>
      <c r="H31" s="8"/>
      <c r="I31" s="8"/>
      <c r="J31" s="8"/>
    </row>
    <row r="32" spans="1:10" ht="22.95" customHeight="1">
      <c r="A32" s="1" t="s">
        <v>594</v>
      </c>
      <c r="B32" s="1" t="s">
        <v>595</v>
      </c>
      <c r="C32" s="1" t="s">
        <v>32</v>
      </c>
      <c r="D32" s="1" t="s">
        <v>28</v>
      </c>
      <c r="E32" s="1" t="s">
        <v>234</v>
      </c>
      <c r="F32" s="7">
        <v>0.2</v>
      </c>
      <c r="G32" s="1" t="s">
        <v>1126</v>
      </c>
      <c r="H32" s="8"/>
      <c r="I32" s="8"/>
      <c r="J32" s="8"/>
    </row>
    <row r="33" spans="1:10" ht="22.95" customHeight="1">
      <c r="A33" s="1" t="s">
        <v>600</v>
      </c>
      <c r="B33" s="1" t="s">
        <v>601</v>
      </c>
      <c r="C33" s="1" t="s">
        <v>30</v>
      </c>
      <c r="D33" s="1" t="s">
        <v>50</v>
      </c>
      <c r="E33" s="1" t="s">
        <v>248</v>
      </c>
      <c r="F33" s="7">
        <v>0.3</v>
      </c>
      <c r="G33" s="1" t="s">
        <v>1126</v>
      </c>
      <c r="H33" s="8"/>
      <c r="I33" s="8"/>
      <c r="J33" s="8"/>
    </row>
    <row r="34" spans="1:10" ht="22.95" customHeight="1">
      <c r="A34" s="1" t="s">
        <v>606</v>
      </c>
      <c r="B34" s="1" t="s">
        <v>607</v>
      </c>
      <c r="C34" s="1" t="s">
        <v>64</v>
      </c>
      <c r="D34" s="1" t="s">
        <v>276</v>
      </c>
      <c r="E34" s="1" t="s">
        <v>158</v>
      </c>
      <c r="F34" s="7">
        <v>0.35</v>
      </c>
      <c r="G34" s="1" t="s">
        <v>1126</v>
      </c>
      <c r="H34" s="8"/>
      <c r="I34" s="8"/>
      <c r="J34" s="8"/>
    </row>
    <row r="35" spans="1:10" ht="22.95" customHeight="1">
      <c r="A35" s="1" t="s">
        <v>614</v>
      </c>
      <c r="B35" s="1" t="s">
        <v>615</v>
      </c>
      <c r="C35" s="1" t="s">
        <v>40</v>
      </c>
      <c r="D35" s="1" t="s">
        <v>28</v>
      </c>
      <c r="E35" s="1" t="s">
        <v>46</v>
      </c>
      <c r="F35" s="7">
        <v>0.25</v>
      </c>
      <c r="G35" s="1" t="s">
        <v>1126</v>
      </c>
      <c r="H35" s="8"/>
      <c r="I35" s="8"/>
      <c r="J35" s="8"/>
    </row>
    <row r="36" spans="1:10" ht="22.95" customHeight="1">
      <c r="A36" s="1" t="s">
        <v>621</v>
      </c>
      <c r="B36" s="1" t="s">
        <v>622</v>
      </c>
      <c r="C36" s="1" t="s">
        <v>76</v>
      </c>
      <c r="D36" s="1" t="s">
        <v>138</v>
      </c>
      <c r="E36" s="1" t="s">
        <v>192</v>
      </c>
      <c r="F36" s="7">
        <v>0.2</v>
      </c>
      <c r="G36" s="1" t="s">
        <v>1126</v>
      </c>
      <c r="H36" s="8"/>
      <c r="I36" s="8"/>
      <c r="J36" s="8"/>
    </row>
    <row r="37" spans="1:10" ht="22.95" customHeight="1">
      <c r="A37" s="1" t="s">
        <v>629</v>
      </c>
      <c r="B37" s="1" t="s">
        <v>630</v>
      </c>
      <c r="C37" s="1" t="s">
        <v>304</v>
      </c>
      <c r="D37" s="1" t="s">
        <v>346</v>
      </c>
      <c r="E37" s="1" t="s">
        <v>36</v>
      </c>
      <c r="F37" s="7">
        <v>0.22</v>
      </c>
      <c r="G37" s="1" t="s">
        <v>1126</v>
      </c>
      <c r="H37" s="8"/>
      <c r="I37" s="8"/>
      <c r="J37" s="8"/>
    </row>
    <row r="38" spans="1:10" ht="22.95" customHeight="1">
      <c r="A38" s="1" t="s">
        <v>636</v>
      </c>
      <c r="B38" s="1" t="s">
        <v>637</v>
      </c>
      <c r="C38" s="1" t="s">
        <v>44</v>
      </c>
      <c r="D38" s="1" t="s">
        <v>274</v>
      </c>
      <c r="E38" s="1" t="s">
        <v>64</v>
      </c>
      <c r="F38" s="7">
        <v>0.4</v>
      </c>
      <c r="G38" s="1" t="s">
        <v>1126</v>
      </c>
      <c r="H38" s="8"/>
      <c r="I38" s="8"/>
      <c r="J38" s="8"/>
    </row>
    <row r="39" spans="1:10" ht="22.95" customHeight="1">
      <c r="A39" s="1" t="s">
        <v>643</v>
      </c>
      <c r="B39" s="1" t="s">
        <v>644</v>
      </c>
      <c r="C39" s="1" t="s">
        <v>70</v>
      </c>
      <c r="D39" s="1" t="s">
        <v>386</v>
      </c>
      <c r="E39" s="1" t="s">
        <v>362</v>
      </c>
      <c r="F39" s="7">
        <v>0.33</v>
      </c>
      <c r="G39" s="1" t="s">
        <v>1126</v>
      </c>
      <c r="H39" s="8"/>
      <c r="I39" s="8"/>
      <c r="J39" s="8"/>
    </row>
    <row r="40" spans="1:10" ht="22.95" customHeight="1">
      <c r="A40" s="1" t="s">
        <v>651</v>
      </c>
      <c r="B40" s="1" t="s">
        <v>652</v>
      </c>
      <c r="C40" s="1" t="s">
        <v>364</v>
      </c>
      <c r="D40" s="1" t="s">
        <v>28</v>
      </c>
      <c r="E40" s="1" t="s">
        <v>30</v>
      </c>
      <c r="F40" s="7">
        <v>0.22</v>
      </c>
      <c r="G40" s="1" t="s">
        <v>1126</v>
      </c>
      <c r="H40" s="8"/>
      <c r="I40" s="8"/>
      <c r="J40" s="8"/>
    </row>
    <row r="41" spans="1:10" ht="22.95" customHeight="1">
      <c r="A41" s="1" t="s">
        <v>657</v>
      </c>
      <c r="B41" s="1" t="s">
        <v>658</v>
      </c>
      <c r="C41" s="1" t="s">
        <v>338</v>
      </c>
      <c r="D41" s="1" t="s">
        <v>150</v>
      </c>
      <c r="E41" s="1" t="s">
        <v>142</v>
      </c>
      <c r="F41" s="7">
        <v>0.27</v>
      </c>
      <c r="G41" s="1" t="s">
        <v>1126</v>
      </c>
      <c r="H41" s="8"/>
      <c r="I41" s="8"/>
      <c r="J41" s="8"/>
    </row>
    <row r="42" spans="1:10" ht="22.95" customHeight="1">
      <c r="A42" s="1" t="s">
        <v>665</v>
      </c>
      <c r="B42" s="1" t="s">
        <v>666</v>
      </c>
      <c r="C42" s="1" t="s">
        <v>322</v>
      </c>
      <c r="D42" s="1" t="s">
        <v>390</v>
      </c>
      <c r="E42" s="1" t="s">
        <v>270</v>
      </c>
      <c r="F42" s="7">
        <v>0.15</v>
      </c>
      <c r="G42" s="1" t="s">
        <v>1126</v>
      </c>
      <c r="H42" s="8"/>
      <c r="I42" s="8"/>
      <c r="J42" s="8"/>
    </row>
    <row r="43" spans="1:10" ht="22.95" customHeight="1">
      <c r="A43" s="1" t="s">
        <v>673</v>
      </c>
      <c r="B43" s="1" t="s">
        <v>674</v>
      </c>
      <c r="C43" s="1" t="s">
        <v>394</v>
      </c>
      <c r="D43" s="1" t="s">
        <v>236</v>
      </c>
      <c r="E43" s="1" t="s">
        <v>312</v>
      </c>
      <c r="F43" s="7">
        <v>0.43</v>
      </c>
      <c r="G43" s="1" t="s">
        <v>1126</v>
      </c>
      <c r="H43" s="8"/>
      <c r="I43" s="8"/>
      <c r="J43" s="8"/>
    </row>
    <row r="44" spans="1:10" ht="22.95" customHeight="1">
      <c r="A44" s="1" t="s">
        <v>681</v>
      </c>
      <c r="B44" s="1" t="s">
        <v>682</v>
      </c>
      <c r="C44" s="1" t="s">
        <v>40</v>
      </c>
      <c r="D44" s="1" t="s">
        <v>30</v>
      </c>
      <c r="E44" s="1" t="s">
        <v>34</v>
      </c>
      <c r="F44" s="7">
        <v>0.3</v>
      </c>
      <c r="G44" s="1" t="s">
        <v>1126</v>
      </c>
      <c r="H44" s="8"/>
      <c r="I44" s="8"/>
      <c r="J44" s="8"/>
    </row>
    <row r="45" spans="1:10" ht="22.95" customHeight="1">
      <c r="A45" s="1" t="s">
        <v>687</v>
      </c>
      <c r="B45" s="1" t="s">
        <v>688</v>
      </c>
      <c r="C45" s="1" t="s">
        <v>36</v>
      </c>
      <c r="D45" s="1" t="s">
        <v>54</v>
      </c>
      <c r="E45" s="1" t="s">
        <v>252</v>
      </c>
      <c r="F45" s="7">
        <v>0.3</v>
      </c>
      <c r="G45" s="1" t="s">
        <v>1126</v>
      </c>
      <c r="H45" s="8"/>
      <c r="I45" s="8"/>
      <c r="J45" s="8"/>
    </row>
    <row r="46" spans="1:10" ht="22.95" customHeight="1">
      <c r="A46" s="1" t="s">
        <v>693</v>
      </c>
      <c r="B46" s="1" t="s">
        <v>694</v>
      </c>
      <c r="C46" s="1" t="s">
        <v>242</v>
      </c>
      <c r="D46" s="1" t="s">
        <v>160</v>
      </c>
      <c r="E46" s="1" t="s">
        <v>120</v>
      </c>
      <c r="F46" s="7">
        <v>0.18</v>
      </c>
      <c r="G46" s="1" t="s">
        <v>1126</v>
      </c>
      <c r="H46" s="8"/>
      <c r="I46" s="8"/>
      <c r="J46" s="8"/>
    </row>
    <row r="47" spans="1:10" ht="22.95" customHeight="1">
      <c r="A47" s="1" t="s">
        <v>701</v>
      </c>
      <c r="B47" s="1" t="s">
        <v>702</v>
      </c>
      <c r="C47" s="1" t="s">
        <v>328</v>
      </c>
      <c r="D47" s="1" t="s">
        <v>388</v>
      </c>
      <c r="E47" s="1" t="s">
        <v>28</v>
      </c>
      <c r="F47" s="7">
        <v>0.15</v>
      </c>
      <c r="G47" s="1" t="s">
        <v>1126</v>
      </c>
      <c r="H47" s="8"/>
      <c r="I47" s="8"/>
      <c r="J47" s="8"/>
    </row>
    <row r="48" spans="1:10" ht="22.95" customHeight="1">
      <c r="A48" s="1" t="s">
        <v>708</v>
      </c>
      <c r="B48" s="1" t="s">
        <v>709</v>
      </c>
      <c r="C48" s="1" t="s">
        <v>40</v>
      </c>
      <c r="D48" s="1" t="s">
        <v>72</v>
      </c>
      <c r="E48" s="1" t="s">
        <v>32</v>
      </c>
      <c r="F48" s="7">
        <v>0.2</v>
      </c>
      <c r="G48" s="1" t="s">
        <v>1126</v>
      </c>
      <c r="H48" s="8"/>
      <c r="I48" s="8"/>
      <c r="J48" s="8"/>
    </row>
    <row r="49" spans="1:10" ht="22.95" customHeight="1">
      <c r="A49" s="1" t="s">
        <v>713</v>
      </c>
      <c r="B49" s="1" t="s">
        <v>714</v>
      </c>
      <c r="C49" s="1" t="s">
        <v>178</v>
      </c>
      <c r="D49" s="1" t="s">
        <v>406</v>
      </c>
      <c r="E49" s="1" t="s">
        <v>98</v>
      </c>
      <c r="F49" s="7">
        <v>0.25</v>
      </c>
      <c r="G49" s="1" t="s">
        <v>1126</v>
      </c>
      <c r="H49" s="8"/>
      <c r="I49" s="8"/>
      <c r="J49" s="8"/>
    </row>
    <row r="50" spans="1:10" ht="22.95" customHeight="1">
      <c r="A50" s="1" t="s">
        <v>720</v>
      </c>
      <c r="B50" s="1" t="s">
        <v>721</v>
      </c>
      <c r="C50" s="1" t="s">
        <v>194</v>
      </c>
      <c r="D50" s="1" t="s">
        <v>168</v>
      </c>
      <c r="E50" s="1" t="s">
        <v>28</v>
      </c>
      <c r="F50" s="7">
        <v>0.3</v>
      </c>
      <c r="G50" s="1" t="s">
        <v>1126</v>
      </c>
      <c r="H50" s="8"/>
      <c r="I50" s="8"/>
      <c r="J50" s="8"/>
    </row>
    <row r="51" spans="1:10" ht="22.95" customHeight="1">
      <c r="A51" s="1" t="s">
        <v>727</v>
      </c>
      <c r="B51" s="1" t="s">
        <v>728</v>
      </c>
      <c r="C51" s="1" t="s">
        <v>376</v>
      </c>
      <c r="D51" s="1" t="s">
        <v>340</v>
      </c>
      <c r="E51" s="1" t="s">
        <v>206</v>
      </c>
      <c r="F51" s="7">
        <v>0.25</v>
      </c>
      <c r="G51" s="1" t="s">
        <v>1126</v>
      </c>
      <c r="H51" s="8"/>
      <c r="I51" s="8"/>
      <c r="J51" s="8"/>
    </row>
    <row r="52" spans="1:10" ht="22.95" customHeight="1">
      <c r="A52" s="1" t="s">
        <v>735</v>
      </c>
      <c r="B52" s="1" t="s">
        <v>736</v>
      </c>
      <c r="C52" s="1" t="s">
        <v>60</v>
      </c>
      <c r="D52" s="1" t="s">
        <v>28</v>
      </c>
      <c r="E52" s="1" t="s">
        <v>30</v>
      </c>
      <c r="F52" s="7">
        <v>0.2</v>
      </c>
      <c r="G52" s="1" t="s">
        <v>1126</v>
      </c>
      <c r="H52" s="8"/>
      <c r="I52" s="8"/>
      <c r="J52" s="8"/>
    </row>
    <row r="53" spans="1:10" ht="22.95" customHeight="1">
      <c r="A53" s="1" t="s">
        <v>740</v>
      </c>
      <c r="B53" s="1" t="s">
        <v>741</v>
      </c>
      <c r="C53" s="1" t="s">
        <v>40</v>
      </c>
      <c r="D53" s="1" t="s">
        <v>324</v>
      </c>
      <c r="E53" s="1" t="s">
        <v>28</v>
      </c>
      <c r="F53" s="7">
        <v>0.3</v>
      </c>
      <c r="G53" s="1" t="s">
        <v>1126</v>
      </c>
      <c r="H53" s="8"/>
      <c r="I53" s="8"/>
      <c r="J53" s="8"/>
    </row>
    <row r="54" spans="1:10" ht="22.95" customHeight="1">
      <c r="A54" s="1" t="s">
        <v>746</v>
      </c>
      <c r="B54" s="1" t="s">
        <v>747</v>
      </c>
      <c r="C54" s="1" t="s">
        <v>216</v>
      </c>
      <c r="D54" s="1" t="s">
        <v>28</v>
      </c>
      <c r="E54" s="1" t="s">
        <v>32</v>
      </c>
      <c r="F54" s="7">
        <v>0.2</v>
      </c>
      <c r="G54" s="1" t="s">
        <v>1126</v>
      </c>
      <c r="H54" s="8"/>
      <c r="I54" s="8"/>
      <c r="J54" s="8"/>
    </row>
    <row r="55" spans="1:10" ht="22.95" customHeight="1">
      <c r="A55" s="1" t="s">
        <v>752</v>
      </c>
      <c r="B55" s="1" t="s">
        <v>753</v>
      </c>
      <c r="C55" s="1" t="s">
        <v>326</v>
      </c>
      <c r="D55" s="1" t="s">
        <v>130</v>
      </c>
      <c r="E55" s="1" t="s">
        <v>28</v>
      </c>
      <c r="F55" s="7">
        <v>0.25</v>
      </c>
      <c r="G55" s="1" t="s">
        <v>1126</v>
      </c>
      <c r="H55" s="8"/>
      <c r="I55" s="8"/>
      <c r="J55" s="8"/>
    </row>
    <row r="56" spans="1:10" ht="22.95" customHeight="1">
      <c r="A56" s="1" t="s">
        <v>759</v>
      </c>
      <c r="B56" s="1" t="s">
        <v>760</v>
      </c>
      <c r="C56" s="1" t="s">
        <v>204</v>
      </c>
      <c r="D56" s="1" t="s">
        <v>184</v>
      </c>
      <c r="E56" s="1" t="s">
        <v>280</v>
      </c>
      <c r="F56" s="7">
        <v>0.35</v>
      </c>
      <c r="G56" s="1" t="s">
        <v>1126</v>
      </c>
      <c r="H56" s="8"/>
      <c r="I56" s="8"/>
      <c r="J56" s="8"/>
    </row>
    <row r="57" spans="1:10" ht="22.95" customHeight="1">
      <c r="A57" s="1" t="s">
        <v>767</v>
      </c>
      <c r="B57" s="1" t="s">
        <v>768</v>
      </c>
      <c r="C57" s="1" t="s">
        <v>380</v>
      </c>
      <c r="D57" s="1" t="s">
        <v>116</v>
      </c>
      <c r="E57" s="1" t="s">
        <v>246</v>
      </c>
      <c r="F57" s="7">
        <v>0.35</v>
      </c>
      <c r="G57" s="1" t="s">
        <v>1126</v>
      </c>
      <c r="H57" s="8"/>
      <c r="I57" s="8"/>
      <c r="J57" s="8"/>
    </row>
    <row r="58" spans="1:10" ht="22.95" customHeight="1">
      <c r="A58" s="1" t="s">
        <v>775</v>
      </c>
      <c r="B58" s="1" t="s">
        <v>776</v>
      </c>
      <c r="C58" s="1" t="s">
        <v>82</v>
      </c>
      <c r="D58" s="1" t="s">
        <v>300</v>
      </c>
      <c r="E58" s="1" t="s">
        <v>176</v>
      </c>
      <c r="F58" s="7">
        <v>0.1</v>
      </c>
      <c r="G58" s="1" t="s">
        <v>1126</v>
      </c>
      <c r="H58" s="8"/>
      <c r="I58" s="8"/>
      <c r="J58" s="8"/>
    </row>
    <row r="59" spans="1:10" ht="22.95" customHeight="1">
      <c r="A59" s="1" t="s">
        <v>783</v>
      </c>
      <c r="B59" s="1" t="s">
        <v>784</v>
      </c>
      <c r="C59" s="1" t="s">
        <v>368</v>
      </c>
      <c r="D59" s="1" t="s">
        <v>28</v>
      </c>
      <c r="E59" s="1" t="s">
        <v>32</v>
      </c>
      <c r="F59" s="7">
        <v>0.2</v>
      </c>
      <c r="G59" s="1" t="s">
        <v>1126</v>
      </c>
      <c r="H59" s="8"/>
      <c r="I59" s="8"/>
      <c r="J59" s="8"/>
    </row>
    <row r="60" spans="1:10" ht="22.95" customHeight="1">
      <c r="A60" s="1" t="s">
        <v>790</v>
      </c>
      <c r="B60" s="1" t="s">
        <v>791</v>
      </c>
      <c r="C60" s="1" t="s">
        <v>128</v>
      </c>
      <c r="D60" s="1" t="s">
        <v>146</v>
      </c>
      <c r="E60" s="1" t="s">
        <v>154</v>
      </c>
      <c r="F60" s="7">
        <v>0.15</v>
      </c>
      <c r="G60" s="1" t="s">
        <v>1126</v>
      </c>
      <c r="H60" s="8"/>
      <c r="I60" s="8"/>
      <c r="J60" s="8"/>
    </row>
    <row r="61" spans="1:10" ht="22.95" customHeight="1">
      <c r="A61" s="1" t="s">
        <v>798</v>
      </c>
      <c r="B61" s="1" t="s">
        <v>799</v>
      </c>
      <c r="C61" s="1" t="s">
        <v>30</v>
      </c>
      <c r="D61" s="1" t="s">
        <v>56</v>
      </c>
      <c r="E61" s="1" t="s">
        <v>28</v>
      </c>
      <c r="F61" s="7">
        <v>0.25</v>
      </c>
      <c r="G61" s="1" t="s">
        <v>1126</v>
      </c>
      <c r="H61" s="8"/>
      <c r="I61" s="8"/>
      <c r="J61" s="8"/>
    </row>
    <row r="62" spans="1:10" ht="22.95" customHeight="1">
      <c r="A62" s="1" t="s">
        <v>803</v>
      </c>
      <c r="B62" s="1" t="s">
        <v>804</v>
      </c>
      <c r="C62" s="1" t="s">
        <v>258</v>
      </c>
      <c r="D62" s="1" t="s">
        <v>136</v>
      </c>
      <c r="E62" s="1" t="s">
        <v>144</v>
      </c>
      <c r="F62" s="7">
        <v>0.2</v>
      </c>
      <c r="G62" s="1" t="s">
        <v>1126</v>
      </c>
      <c r="H62" s="8"/>
      <c r="I62" s="8"/>
      <c r="J62" s="8"/>
    </row>
    <row r="63" spans="1:10" ht="22.95" customHeight="1">
      <c r="A63" s="1" t="s">
        <v>811</v>
      </c>
      <c r="B63" s="1" t="s">
        <v>812</v>
      </c>
      <c r="C63" s="1" t="s">
        <v>214</v>
      </c>
      <c r="D63" s="1" t="s">
        <v>76</v>
      </c>
      <c r="E63" s="1" t="s">
        <v>100</v>
      </c>
      <c r="F63" s="7">
        <v>0.2</v>
      </c>
      <c r="G63" s="1" t="s">
        <v>1126</v>
      </c>
      <c r="H63" s="8"/>
      <c r="I63" s="8"/>
      <c r="J63" s="8"/>
    </row>
    <row r="64" spans="1:10" ht="22.95" customHeight="1">
      <c r="A64" s="1" t="s">
        <v>818</v>
      </c>
      <c r="B64" s="1" t="s">
        <v>819</v>
      </c>
      <c r="C64" s="1" t="s">
        <v>288</v>
      </c>
      <c r="D64" s="1" t="s">
        <v>180</v>
      </c>
      <c r="E64" s="1" t="s">
        <v>228</v>
      </c>
      <c r="F64" s="7">
        <v>0.3</v>
      </c>
      <c r="G64" s="1" t="s">
        <v>1126</v>
      </c>
      <c r="H64" s="8"/>
      <c r="I64" s="8"/>
      <c r="J64" s="8"/>
    </row>
    <row r="65" spans="1:10" ht="22.95" customHeight="1">
      <c r="A65" s="1" t="s">
        <v>826</v>
      </c>
      <c r="B65" s="1" t="s">
        <v>827</v>
      </c>
      <c r="C65" s="1" t="s">
        <v>298</v>
      </c>
      <c r="D65" s="1" t="s">
        <v>230</v>
      </c>
      <c r="E65" s="1" t="s">
        <v>266</v>
      </c>
      <c r="F65" s="7">
        <v>0.25</v>
      </c>
      <c r="G65" s="1" t="s">
        <v>1126</v>
      </c>
      <c r="H65" s="8"/>
      <c r="I65" s="8"/>
      <c r="J65" s="8"/>
    </row>
    <row r="66" spans="1:10" ht="22.95" customHeight="1">
      <c r="A66" s="1" t="s">
        <v>834</v>
      </c>
      <c r="B66" s="1" t="s">
        <v>835</v>
      </c>
      <c r="C66" s="1" t="s">
        <v>370</v>
      </c>
      <c r="D66" s="1" t="s">
        <v>148</v>
      </c>
      <c r="E66" s="1" t="s">
        <v>152</v>
      </c>
      <c r="F66" s="7">
        <v>0.15</v>
      </c>
      <c r="G66" s="1" t="s">
        <v>1126</v>
      </c>
      <c r="H66" s="8"/>
      <c r="I66" s="8"/>
      <c r="J66" s="8"/>
    </row>
    <row r="67" spans="1:10" ht="22.95" customHeight="1">
      <c r="A67" s="1" t="s">
        <v>842</v>
      </c>
      <c r="B67" s="1" t="s">
        <v>843</v>
      </c>
      <c r="C67" s="1" t="s">
        <v>200</v>
      </c>
      <c r="D67" s="1" t="s">
        <v>28</v>
      </c>
      <c r="E67" s="1" t="s">
        <v>30</v>
      </c>
      <c r="F67" s="7">
        <v>0.2</v>
      </c>
      <c r="G67" s="1" t="s">
        <v>1126</v>
      </c>
      <c r="H67" s="8"/>
      <c r="I67" s="8"/>
      <c r="J67" s="8"/>
    </row>
    <row r="68" spans="1:10" ht="22.95" customHeight="1">
      <c r="A68" s="1" t="s">
        <v>848</v>
      </c>
      <c r="B68" s="1" t="s">
        <v>849</v>
      </c>
      <c r="C68" s="1" t="s">
        <v>344</v>
      </c>
      <c r="D68" s="1" t="s">
        <v>174</v>
      </c>
      <c r="E68" s="1" t="s">
        <v>224</v>
      </c>
      <c r="F68" s="7">
        <v>0.1</v>
      </c>
      <c r="G68" s="1" t="s">
        <v>1126</v>
      </c>
      <c r="H68" s="8"/>
      <c r="I68" s="8"/>
      <c r="J68" s="8"/>
    </row>
    <row r="69" spans="1:10" ht="22.95" customHeight="1">
      <c r="A69" s="1" t="s">
        <v>856</v>
      </c>
      <c r="B69" s="1" t="s">
        <v>857</v>
      </c>
      <c r="C69" s="1" t="s">
        <v>354</v>
      </c>
      <c r="D69" s="1" t="s">
        <v>28</v>
      </c>
      <c r="E69" s="1" t="s">
        <v>30</v>
      </c>
      <c r="F69" s="7">
        <v>0.1</v>
      </c>
      <c r="G69" s="1" t="s">
        <v>1126</v>
      </c>
      <c r="H69" s="8"/>
      <c r="I69" s="8"/>
      <c r="J69" s="8"/>
    </row>
    <row r="70" spans="1:10" ht="22.95" customHeight="1">
      <c r="A70" s="1" t="s">
        <v>862</v>
      </c>
      <c r="B70" s="1" t="s">
        <v>863</v>
      </c>
      <c r="C70" s="1" t="s">
        <v>42</v>
      </c>
      <c r="D70" s="1" t="s">
        <v>134</v>
      </c>
      <c r="E70" s="1" t="s">
        <v>28</v>
      </c>
      <c r="F70" s="7">
        <v>0.1</v>
      </c>
      <c r="G70" s="1" t="s">
        <v>1126</v>
      </c>
      <c r="H70" s="8"/>
      <c r="I70" s="8"/>
      <c r="J70" s="8"/>
    </row>
    <row r="71" spans="1:10" ht="22.95" customHeight="1">
      <c r="A71" s="1" t="s">
        <v>869</v>
      </c>
      <c r="B71" s="1" t="s">
        <v>870</v>
      </c>
      <c r="C71" s="1" t="s">
        <v>58</v>
      </c>
      <c r="D71" s="1" t="s">
        <v>284</v>
      </c>
      <c r="E71" s="1" t="s">
        <v>352</v>
      </c>
      <c r="F71" s="7">
        <v>0.15</v>
      </c>
      <c r="G71" s="1" t="s">
        <v>1126</v>
      </c>
      <c r="H71" s="8"/>
      <c r="I71" s="8"/>
      <c r="J71" s="8"/>
    </row>
    <row r="72" spans="1:10" ht="22.95" customHeight="1">
      <c r="A72" s="1" t="s">
        <v>877</v>
      </c>
      <c r="B72" s="1" t="s">
        <v>878</v>
      </c>
      <c r="C72" s="1" t="s">
        <v>402</v>
      </c>
      <c r="D72" s="1" t="s">
        <v>28</v>
      </c>
      <c r="E72" s="1" t="s">
        <v>170</v>
      </c>
      <c r="F72" s="7">
        <v>0.2</v>
      </c>
      <c r="G72" s="1" t="s">
        <v>1126</v>
      </c>
      <c r="H72" s="8"/>
      <c r="I72" s="8"/>
      <c r="J72" s="8"/>
    </row>
    <row r="73" spans="1:10" ht="22.95" customHeight="1">
      <c r="A73" s="1" t="s">
        <v>884</v>
      </c>
      <c r="B73" s="1" t="s">
        <v>885</v>
      </c>
      <c r="C73" s="1" t="s">
        <v>208</v>
      </c>
      <c r="D73" s="1" t="s">
        <v>262</v>
      </c>
      <c r="E73" s="1" t="s">
        <v>28</v>
      </c>
      <c r="F73" s="7">
        <v>0.15</v>
      </c>
      <c r="G73" s="1" t="s">
        <v>1126</v>
      </c>
      <c r="H73" s="8"/>
      <c r="I73" s="8"/>
      <c r="J73" s="8"/>
    </row>
    <row r="74" spans="1:10" ht="22.95" customHeight="1">
      <c r="A74" s="1" t="s">
        <v>891</v>
      </c>
      <c r="B74" s="1" t="s">
        <v>892</v>
      </c>
      <c r="C74" s="1" t="s">
        <v>86</v>
      </c>
      <c r="D74" s="1" t="s">
        <v>28</v>
      </c>
      <c r="E74" s="1" t="s">
        <v>358</v>
      </c>
      <c r="F74" s="7">
        <v>0.4</v>
      </c>
      <c r="G74" s="1" t="s">
        <v>1126</v>
      </c>
      <c r="H74" s="8"/>
      <c r="I74" s="8"/>
      <c r="J74" s="8"/>
    </row>
    <row r="75" spans="1:10" ht="22.95" customHeight="1">
      <c r="A75" s="1" t="s">
        <v>898</v>
      </c>
      <c r="B75" s="1" t="s">
        <v>899</v>
      </c>
      <c r="C75" s="1" t="s">
        <v>68</v>
      </c>
      <c r="D75" s="1" t="s">
        <v>210</v>
      </c>
      <c r="E75" s="1" t="s">
        <v>334</v>
      </c>
      <c r="F75" s="7">
        <v>0.45</v>
      </c>
      <c r="G75" s="1" t="s">
        <v>1126</v>
      </c>
      <c r="H75" s="8"/>
      <c r="I75" s="8"/>
      <c r="J75" s="8"/>
    </row>
    <row r="76" spans="1:10" ht="22.95" customHeight="1">
      <c r="A76" s="1" t="s">
        <v>906</v>
      </c>
      <c r="B76" s="1" t="s">
        <v>907</v>
      </c>
      <c r="C76" s="1" t="s">
        <v>384</v>
      </c>
      <c r="D76" s="1" t="s">
        <v>172</v>
      </c>
      <c r="E76" s="1" t="s">
        <v>44</v>
      </c>
      <c r="F76" s="7">
        <v>0.1</v>
      </c>
      <c r="G76" s="1" t="s">
        <v>1126</v>
      </c>
      <c r="H76" s="8"/>
      <c r="I76" s="8"/>
      <c r="J76" s="8"/>
    </row>
    <row r="77" spans="1:10" ht="22.95" customHeight="1">
      <c r="A77" s="1" t="s">
        <v>913</v>
      </c>
      <c r="B77" s="1" t="s">
        <v>914</v>
      </c>
      <c r="C77" s="1" t="s">
        <v>44</v>
      </c>
      <c r="D77" s="1" t="s">
        <v>110</v>
      </c>
      <c r="E77" s="1" t="s">
        <v>220</v>
      </c>
      <c r="F77" s="7">
        <v>0.2</v>
      </c>
      <c r="G77" s="1" t="s">
        <v>1126</v>
      </c>
      <c r="H77" s="8"/>
      <c r="I77" s="8"/>
      <c r="J77" s="8"/>
    </row>
    <row r="78" spans="1:10" ht="22.95" customHeight="1">
      <c r="A78" s="1" t="s">
        <v>920</v>
      </c>
      <c r="B78" s="1" t="s">
        <v>921</v>
      </c>
      <c r="C78" s="1" t="s">
        <v>254</v>
      </c>
      <c r="D78" s="1" t="s">
        <v>272</v>
      </c>
      <c r="E78" s="1" t="s">
        <v>126</v>
      </c>
      <c r="F78" s="7">
        <v>0.1</v>
      </c>
      <c r="G78" s="1" t="s">
        <v>1126</v>
      </c>
      <c r="H78" s="8"/>
      <c r="I78" s="8"/>
      <c r="J78" s="8"/>
    </row>
    <row r="79" spans="1:10" ht="22.95" customHeight="1">
      <c r="A79" s="1" t="s">
        <v>928</v>
      </c>
      <c r="B79" s="1" t="s">
        <v>929</v>
      </c>
      <c r="C79" s="1" t="s">
        <v>232</v>
      </c>
      <c r="D79" s="1" t="s">
        <v>118</v>
      </c>
      <c r="E79" s="1" t="s">
        <v>28</v>
      </c>
      <c r="F79" s="7">
        <v>0.15</v>
      </c>
      <c r="G79" s="1" t="s">
        <v>1126</v>
      </c>
      <c r="H79" s="8"/>
      <c r="I79" s="8"/>
      <c r="J79" s="8"/>
    </row>
    <row r="80" spans="1:10" ht="22.95" customHeight="1">
      <c r="A80" s="1" t="s">
        <v>935</v>
      </c>
      <c r="B80" s="1" t="s">
        <v>936</v>
      </c>
      <c r="C80" s="1" t="s">
        <v>396</v>
      </c>
      <c r="D80" s="1" t="s">
        <v>108</v>
      </c>
      <c r="E80" s="1" t="s">
        <v>28</v>
      </c>
      <c r="F80" s="7">
        <v>0.15</v>
      </c>
      <c r="G80" s="1" t="s">
        <v>1126</v>
      </c>
      <c r="H80" s="8"/>
      <c r="I80" s="8"/>
      <c r="J80" s="8"/>
    </row>
    <row r="81" spans="1:10" ht="22.95" customHeight="1">
      <c r="A81" s="1" t="s">
        <v>942</v>
      </c>
      <c r="B81" s="1" t="s">
        <v>943</v>
      </c>
      <c r="C81" s="1" t="s">
        <v>74</v>
      </c>
      <c r="D81" s="1" t="s">
        <v>28</v>
      </c>
      <c r="E81" s="1" t="s">
        <v>52</v>
      </c>
      <c r="F81" s="7">
        <v>0.1</v>
      </c>
      <c r="G81" s="1" t="s">
        <v>1126</v>
      </c>
      <c r="H81" s="8"/>
      <c r="I81" s="8"/>
      <c r="J81" s="8"/>
    </row>
    <row r="82" spans="1:10" ht="22.95" customHeight="1">
      <c r="A82" s="1" t="s">
        <v>948</v>
      </c>
      <c r="B82" s="1" t="s">
        <v>949</v>
      </c>
      <c r="C82" s="1" t="s">
        <v>90</v>
      </c>
      <c r="D82" s="1" t="s">
        <v>28</v>
      </c>
      <c r="E82" s="1" t="s">
        <v>360</v>
      </c>
      <c r="F82" s="7">
        <v>0.15</v>
      </c>
      <c r="G82" s="1" t="s">
        <v>1126</v>
      </c>
      <c r="H82" s="8"/>
      <c r="I82" s="8"/>
      <c r="J82" s="8"/>
    </row>
    <row r="83" spans="1:10" ht="22.95" customHeight="1">
      <c r="A83" s="1" t="s">
        <v>955</v>
      </c>
      <c r="B83" s="1" t="s">
        <v>956</v>
      </c>
      <c r="C83" s="1" t="s">
        <v>382</v>
      </c>
      <c r="D83" s="1" t="s">
        <v>28</v>
      </c>
      <c r="E83" s="1" t="s">
        <v>124</v>
      </c>
      <c r="F83" s="7">
        <v>0.2</v>
      </c>
      <c r="G83" s="1" t="s">
        <v>1126</v>
      </c>
      <c r="H83" s="8"/>
      <c r="I83" s="8"/>
      <c r="J83" s="8"/>
    </row>
    <row r="84" spans="1:10" ht="22.95" customHeight="1">
      <c r="A84" s="1" t="s">
        <v>962</v>
      </c>
      <c r="B84" s="1" t="s">
        <v>963</v>
      </c>
      <c r="C84" s="1" t="s">
        <v>42</v>
      </c>
      <c r="D84" s="1" t="s">
        <v>38</v>
      </c>
      <c r="E84" s="1" t="s">
        <v>70</v>
      </c>
      <c r="F84" s="7">
        <v>0.3</v>
      </c>
      <c r="G84" s="1" t="s">
        <v>1126</v>
      </c>
      <c r="H84" s="8"/>
      <c r="I84" s="8"/>
      <c r="J84" s="8"/>
    </row>
    <row r="85" spans="1:10" ht="22.95" customHeight="1">
      <c r="A85" s="1" t="s">
        <v>968</v>
      </c>
      <c r="B85" s="1" t="s">
        <v>969</v>
      </c>
      <c r="C85" s="1" t="s">
        <v>162</v>
      </c>
      <c r="D85" s="1" t="s">
        <v>318</v>
      </c>
      <c r="E85" s="1" t="s">
        <v>28</v>
      </c>
      <c r="F85" s="7">
        <v>0.15</v>
      </c>
      <c r="G85" s="1" t="s">
        <v>1126</v>
      </c>
      <c r="H85" s="8"/>
      <c r="I85" s="8"/>
      <c r="J85" s="8"/>
    </row>
    <row r="86" spans="1:10" ht="22.95" customHeight="1">
      <c r="A86" s="1" t="s">
        <v>975</v>
      </c>
      <c r="B86" s="1" t="s">
        <v>976</v>
      </c>
      <c r="C86" s="1" t="s">
        <v>408</v>
      </c>
      <c r="D86" s="1" t="s">
        <v>182</v>
      </c>
      <c r="E86" s="1" t="s">
        <v>400</v>
      </c>
      <c r="F86" s="7">
        <v>0.1</v>
      </c>
      <c r="G86" s="1" t="s">
        <v>1126</v>
      </c>
      <c r="H86" s="8"/>
      <c r="I86" s="8"/>
      <c r="J86" s="8"/>
    </row>
    <row r="87" spans="1:10" ht="22.95" customHeight="1">
      <c r="A87" s="1" t="s">
        <v>983</v>
      </c>
      <c r="B87" s="1" t="s">
        <v>984</v>
      </c>
      <c r="C87" s="1" t="s">
        <v>286</v>
      </c>
      <c r="D87" s="1" t="s">
        <v>32</v>
      </c>
      <c r="E87" s="1" t="s">
        <v>342</v>
      </c>
      <c r="F87" s="7">
        <v>0.2</v>
      </c>
      <c r="G87" s="1" t="s">
        <v>1126</v>
      </c>
      <c r="H87" s="8"/>
      <c r="I87" s="8"/>
      <c r="J87" s="8"/>
    </row>
    <row r="88" spans="1:10" ht="22.95" customHeight="1">
      <c r="A88" s="1" t="s">
        <v>990</v>
      </c>
      <c r="B88" s="1" t="s">
        <v>991</v>
      </c>
      <c r="C88" s="1" t="s">
        <v>398</v>
      </c>
      <c r="D88" s="1" t="s">
        <v>28</v>
      </c>
      <c r="E88" s="1" t="s">
        <v>88</v>
      </c>
      <c r="F88" s="7">
        <v>0.25</v>
      </c>
      <c r="G88" s="1" t="s">
        <v>1126</v>
      </c>
      <c r="H88" s="8"/>
      <c r="I88" s="8"/>
      <c r="J88" s="8"/>
    </row>
    <row r="89" spans="1:10" ht="22.95" customHeight="1">
      <c r="A89" s="1" t="s">
        <v>997</v>
      </c>
      <c r="B89" s="1" t="s">
        <v>998</v>
      </c>
      <c r="C89" s="1" t="s">
        <v>164</v>
      </c>
      <c r="D89" s="1" t="s">
        <v>28</v>
      </c>
      <c r="E89" s="1" t="s">
        <v>34</v>
      </c>
      <c r="F89" s="7">
        <v>0.15</v>
      </c>
      <c r="G89" s="1" t="s">
        <v>1126</v>
      </c>
      <c r="H89" s="8"/>
      <c r="I89" s="8"/>
      <c r="J89" s="8"/>
    </row>
    <row r="90" spans="1:10" ht="22.95" customHeight="1">
      <c r="A90" s="1" t="s">
        <v>1003</v>
      </c>
      <c r="B90" s="1" t="s">
        <v>1004</v>
      </c>
      <c r="C90" s="1" t="s">
        <v>68</v>
      </c>
      <c r="D90" s="1" t="s">
        <v>308</v>
      </c>
      <c r="E90" s="1" t="s">
        <v>68</v>
      </c>
      <c r="F90" s="7">
        <v>0.3</v>
      </c>
      <c r="G90" s="1" t="s">
        <v>1126</v>
      </c>
      <c r="H90" s="8"/>
      <c r="I90" s="8"/>
      <c r="J90" s="8"/>
    </row>
    <row r="91" spans="1:10" ht="22.95" customHeight="1">
      <c r="A91" s="1" t="s">
        <v>1010</v>
      </c>
      <c r="B91" s="1" t="s">
        <v>1011</v>
      </c>
      <c r="C91" s="1" t="s">
        <v>102</v>
      </c>
      <c r="D91" s="1" t="s">
        <v>58</v>
      </c>
      <c r="E91" s="1" t="s">
        <v>106</v>
      </c>
      <c r="F91" s="7">
        <v>0.1</v>
      </c>
      <c r="G91" s="1" t="s">
        <v>1126</v>
      </c>
      <c r="H91" s="8"/>
      <c r="I91" s="8"/>
      <c r="J91" s="8"/>
    </row>
    <row r="92" spans="1:10" ht="22.95" customHeight="1">
      <c r="A92" s="1" t="s">
        <v>1017</v>
      </c>
      <c r="B92" s="1" t="s">
        <v>1018</v>
      </c>
      <c r="C92" s="1" t="s">
        <v>38</v>
      </c>
      <c r="D92" s="1" t="s">
        <v>186</v>
      </c>
      <c r="E92" s="1" t="s">
        <v>96</v>
      </c>
      <c r="F92" s="7">
        <v>0.4</v>
      </c>
      <c r="G92" s="1" t="s">
        <v>1126</v>
      </c>
      <c r="H92" s="8"/>
      <c r="I92" s="8"/>
      <c r="J92" s="8"/>
    </row>
    <row r="93" spans="1:10" ht="22.95" customHeight="1">
      <c r="A93" s="1" t="s">
        <v>1024</v>
      </c>
      <c r="B93" s="1" t="s">
        <v>1025</v>
      </c>
      <c r="C93" s="1" t="s">
        <v>226</v>
      </c>
      <c r="D93" s="1" t="s">
        <v>28</v>
      </c>
      <c r="E93" s="1" t="s">
        <v>62</v>
      </c>
      <c r="F93" s="7">
        <v>0.15</v>
      </c>
      <c r="G93" s="1" t="s">
        <v>1126</v>
      </c>
      <c r="H93" s="8"/>
      <c r="I93" s="8"/>
      <c r="J93" s="8"/>
    </row>
    <row r="94" spans="1:10" ht="22.95" customHeight="1">
      <c r="A94" s="1" t="s">
        <v>1032</v>
      </c>
      <c r="B94" s="1" t="s">
        <v>1033</v>
      </c>
      <c r="C94" s="1" t="s">
        <v>260</v>
      </c>
      <c r="D94" s="1" t="s">
        <v>28</v>
      </c>
      <c r="E94" s="1" t="s">
        <v>80</v>
      </c>
      <c r="F94" s="7">
        <v>0.1</v>
      </c>
      <c r="G94" s="1" t="s">
        <v>1126</v>
      </c>
      <c r="H94" s="8"/>
      <c r="I94" s="8"/>
      <c r="J94" s="8"/>
    </row>
    <row r="95" spans="1:10" ht="22.95" customHeight="1">
      <c r="A95" s="1" t="s">
        <v>1039</v>
      </c>
      <c r="B95" s="1" t="s">
        <v>1040</v>
      </c>
      <c r="C95" s="1" t="s">
        <v>92</v>
      </c>
      <c r="D95" s="1" t="s">
        <v>42</v>
      </c>
      <c r="E95" s="1" t="s">
        <v>356</v>
      </c>
      <c r="F95" s="7">
        <v>0.25</v>
      </c>
      <c r="G95" s="1" t="s">
        <v>1126</v>
      </c>
      <c r="H95" s="8"/>
      <c r="I95" s="8"/>
      <c r="J95" s="8"/>
    </row>
    <row r="96" spans="1:10" ht="22.95" customHeight="1">
      <c r="A96" s="1" t="s">
        <v>1045</v>
      </c>
      <c r="B96" s="1" t="s">
        <v>1046</v>
      </c>
      <c r="C96" s="1" t="s">
        <v>372</v>
      </c>
      <c r="D96" s="1" t="s">
        <v>256</v>
      </c>
      <c r="E96" s="1" t="s">
        <v>198</v>
      </c>
      <c r="F96" s="7">
        <v>0.15</v>
      </c>
      <c r="G96" s="1" t="s">
        <v>1126</v>
      </c>
      <c r="H96" s="8"/>
      <c r="I96" s="8"/>
      <c r="J96" s="8"/>
    </row>
    <row r="97" spans="1:10" ht="22.95" customHeight="1">
      <c r="A97" s="1" t="s">
        <v>1053</v>
      </c>
      <c r="B97" s="1" t="s">
        <v>1054</v>
      </c>
      <c r="C97" s="1" t="s">
        <v>38</v>
      </c>
      <c r="D97" s="1" t="s">
        <v>94</v>
      </c>
      <c r="E97" s="1" t="s">
        <v>28</v>
      </c>
      <c r="F97" s="7">
        <v>0.25</v>
      </c>
      <c r="G97" s="1" t="s">
        <v>1126</v>
      </c>
      <c r="H97" s="8"/>
      <c r="I97" s="8"/>
      <c r="J97" s="8"/>
    </row>
    <row r="98" spans="1:10" ht="22.95" customHeight="1">
      <c r="A98" s="1" t="s">
        <v>1059</v>
      </c>
      <c r="B98" s="1" t="s">
        <v>1060</v>
      </c>
      <c r="C98" s="1" t="s">
        <v>218</v>
      </c>
      <c r="D98" s="1" t="s">
        <v>36</v>
      </c>
      <c r="E98" s="1" t="s">
        <v>54</v>
      </c>
      <c r="F98" s="7">
        <v>0.15</v>
      </c>
      <c r="G98" s="1" t="s">
        <v>1126</v>
      </c>
      <c r="H98" s="8"/>
      <c r="I98" s="8"/>
      <c r="J98" s="8"/>
    </row>
    <row r="99" spans="1:10" ht="22.95" customHeight="1">
      <c r="A99" s="1" t="s">
        <v>1066</v>
      </c>
      <c r="B99" s="1" t="s">
        <v>1067</v>
      </c>
      <c r="C99" s="1" t="s">
        <v>42</v>
      </c>
      <c r="D99" s="1" t="s">
        <v>38</v>
      </c>
      <c r="E99" s="1" t="s">
        <v>28</v>
      </c>
      <c r="F99" s="7">
        <v>0.15</v>
      </c>
      <c r="G99" s="1" t="s">
        <v>1126</v>
      </c>
      <c r="H99" s="8"/>
      <c r="I99" s="8"/>
      <c r="J99" s="8"/>
    </row>
    <row r="100" spans="1:10" ht="22.95" customHeight="1">
      <c r="A100" s="1" t="s">
        <v>1071</v>
      </c>
      <c r="B100" s="1" t="s">
        <v>1072</v>
      </c>
      <c r="C100" s="1" t="s">
        <v>82</v>
      </c>
      <c r="D100" s="1" t="s">
        <v>310</v>
      </c>
      <c r="E100" s="1" t="s">
        <v>104</v>
      </c>
      <c r="F100" s="7">
        <v>0.1</v>
      </c>
      <c r="G100" s="1" t="s">
        <v>1126</v>
      </c>
      <c r="H100" s="8"/>
      <c r="I100" s="8"/>
      <c r="J100" s="8"/>
    </row>
    <row r="101" spans="1:10" ht="22.95" customHeight="1">
      <c r="A101" s="1" t="s">
        <v>1078</v>
      </c>
      <c r="B101" s="1" t="s">
        <v>1079</v>
      </c>
      <c r="C101" s="1" t="s">
        <v>166</v>
      </c>
      <c r="D101" s="1" t="s">
        <v>28</v>
      </c>
      <c r="E101" s="1" t="s">
        <v>52</v>
      </c>
      <c r="F101" s="7">
        <v>0.2</v>
      </c>
      <c r="G101" s="1" t="s">
        <v>1126</v>
      </c>
      <c r="H101" s="8"/>
      <c r="I101" s="8"/>
      <c r="J101" s="8"/>
    </row>
    <row r="102" spans="1:10" ht="22.95" customHeight="1">
      <c r="A102" s="1" t="s">
        <v>1084</v>
      </c>
      <c r="B102" s="1" t="s">
        <v>1085</v>
      </c>
      <c r="C102" s="1" t="s">
        <v>296</v>
      </c>
      <c r="D102" s="1" t="s">
        <v>84</v>
      </c>
      <c r="E102" s="1" t="s">
        <v>378</v>
      </c>
      <c r="F102" s="7">
        <v>0.15</v>
      </c>
      <c r="G102" s="1" t="s">
        <v>1126</v>
      </c>
      <c r="H102" s="8"/>
      <c r="I102" s="8"/>
      <c r="J102" s="8"/>
    </row>
    <row r="103" spans="1:10" ht="22.95" customHeight="1">
      <c r="A103" s="1" t="s">
        <v>1092</v>
      </c>
      <c r="B103" s="1" t="s">
        <v>1093</v>
      </c>
      <c r="C103" s="1" t="s">
        <v>78</v>
      </c>
      <c r="D103" s="1" t="s">
        <v>268</v>
      </c>
      <c r="E103" s="1" t="s">
        <v>28</v>
      </c>
      <c r="F103" s="7">
        <v>0.15</v>
      </c>
      <c r="G103" s="1" t="s">
        <v>1126</v>
      </c>
      <c r="H103" s="8"/>
      <c r="I103" s="8"/>
      <c r="J103" s="8"/>
    </row>
    <row r="104" spans="1:10" ht="22.95" customHeight="1">
      <c r="A104" s="1" t="s">
        <v>1099</v>
      </c>
      <c r="B104" s="1" t="s">
        <v>1100</v>
      </c>
      <c r="C104" s="1" t="s">
        <v>132</v>
      </c>
      <c r="D104" s="1" t="s">
        <v>28</v>
      </c>
      <c r="E104" s="1" t="s">
        <v>336</v>
      </c>
      <c r="F104" s="7">
        <v>0.2</v>
      </c>
      <c r="G104" s="1" t="s">
        <v>1126</v>
      </c>
      <c r="H104" s="8"/>
      <c r="I104" s="8"/>
      <c r="J104" s="8"/>
    </row>
    <row r="105" spans="1:10" ht="22.95" customHeight="1">
      <c r="A105" s="1" t="s">
        <v>1106</v>
      </c>
      <c r="B105" s="1" t="s">
        <v>1107</v>
      </c>
      <c r="C105" s="1" t="s">
        <v>222</v>
      </c>
      <c r="D105" s="1" t="s">
        <v>28</v>
      </c>
      <c r="E105" s="1" t="s">
        <v>62</v>
      </c>
      <c r="F105" s="7">
        <v>0.15</v>
      </c>
      <c r="G105" s="1" t="s">
        <v>1126</v>
      </c>
      <c r="H105" s="8"/>
      <c r="I105" s="8"/>
      <c r="J105" s="8"/>
    </row>
    <row r="106" spans="1:10" ht="22.95" customHeight="1">
      <c r="A106" s="1" t="s">
        <v>1112</v>
      </c>
      <c r="B106" s="1" t="s">
        <v>1113</v>
      </c>
      <c r="C106" s="1" t="s">
        <v>78</v>
      </c>
      <c r="D106" s="1" t="s">
        <v>292</v>
      </c>
      <c r="E106" s="1" t="s">
        <v>366</v>
      </c>
      <c r="F106" s="7">
        <v>0.15</v>
      </c>
      <c r="G106" s="1" t="s">
        <v>1126</v>
      </c>
      <c r="H106" s="8"/>
      <c r="I106" s="8"/>
      <c r="J106" s="8"/>
    </row>
  </sheetData>
  <conditionalFormatting sqref="G7:G106">
    <cfRule type="containsText" dxfId="0" priority="1" operator="containsText" text="Unverified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2" width="26" customWidth="1"/>
    <col min="3" max="3" width="18" customWidth="1"/>
    <col min="4" max="6" width="55" customWidth="1"/>
    <col min="7" max="7" width="26" customWidth="1"/>
    <col min="8" max="10" width="55" customWidth="1"/>
    <col min="11" max="11" width="26" customWidth="1"/>
    <col min="12" max="14" width="55" customWidth="1"/>
  </cols>
  <sheetData>
    <row r="1" spans="1:14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.95" customHeight="1">
      <c r="A2" s="2" t="s">
        <v>1127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2.95" customHeight="1">
      <c r="A4" s="4" t="s">
        <v>1128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2.95" customHeight="1">
      <c r="A5" s="5" t="s">
        <v>1121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4.049999999999997" customHeight="1">
      <c r="A6" s="6" t="s">
        <v>1129</v>
      </c>
      <c r="B6" s="6" t="s">
        <v>1130</v>
      </c>
      <c r="C6" s="6" t="s">
        <v>1131</v>
      </c>
      <c r="D6" s="6" t="s">
        <v>1132</v>
      </c>
      <c r="E6" s="6" t="s">
        <v>1133</v>
      </c>
      <c r="F6" s="6" t="s">
        <v>1134</v>
      </c>
      <c r="G6" s="6" t="s">
        <v>1135</v>
      </c>
      <c r="H6" s="6" t="s">
        <v>1136</v>
      </c>
      <c r="I6" s="6" t="s">
        <v>1137</v>
      </c>
      <c r="J6" s="6" t="s">
        <v>1138</v>
      </c>
      <c r="K6" s="6" t="s">
        <v>1139</v>
      </c>
      <c r="L6" s="6" t="s">
        <v>1140</v>
      </c>
      <c r="M6" s="6" t="s">
        <v>1141</v>
      </c>
      <c r="N6" s="6" t="s">
        <v>1142</v>
      </c>
    </row>
    <row r="7" spans="1:14" ht="15" customHeight="1">
      <c r="A7" s="1" t="s">
        <v>420</v>
      </c>
      <c r="B7" s="1" t="s">
        <v>30</v>
      </c>
      <c r="C7" s="7">
        <v>0.43</v>
      </c>
      <c r="D7" s="9" t="s">
        <v>1143</v>
      </c>
      <c r="E7" s="9" t="s">
        <v>1144</v>
      </c>
      <c r="F7" s="9" t="s">
        <v>1145</v>
      </c>
      <c r="G7" s="1" t="s">
        <v>34</v>
      </c>
      <c r="H7" s="9" t="s">
        <v>1146</v>
      </c>
      <c r="I7" s="9" t="s">
        <v>1147</v>
      </c>
      <c r="J7" s="9" t="s">
        <v>1148</v>
      </c>
      <c r="K7" s="1" t="s">
        <v>28</v>
      </c>
      <c r="L7" s="9" t="s">
        <v>1149</v>
      </c>
      <c r="M7" s="9" t="s">
        <v>1150</v>
      </c>
      <c r="N7" s="9" t="s">
        <v>1151</v>
      </c>
    </row>
    <row r="8" spans="1:14" ht="15" customHeight="1">
      <c r="A8" s="1" t="s">
        <v>429</v>
      </c>
      <c r="B8" s="1" t="s">
        <v>36</v>
      </c>
      <c r="C8" s="7">
        <v>0.55000000000000004</v>
      </c>
      <c r="D8" s="9" t="s">
        <v>1152</v>
      </c>
      <c r="E8" s="9" t="s">
        <v>1153</v>
      </c>
      <c r="F8" s="9" t="s">
        <v>1154</v>
      </c>
      <c r="G8" s="1" t="s">
        <v>54</v>
      </c>
      <c r="H8" s="9" t="s">
        <v>1155</v>
      </c>
      <c r="I8" s="9" t="s">
        <v>1156</v>
      </c>
      <c r="J8" s="9" t="s">
        <v>1157</v>
      </c>
      <c r="K8" s="1" t="s">
        <v>350</v>
      </c>
      <c r="L8" s="9" t="s">
        <v>1158</v>
      </c>
      <c r="M8" s="9" t="s">
        <v>1159</v>
      </c>
      <c r="N8" s="9" t="s">
        <v>1160</v>
      </c>
    </row>
    <row r="9" spans="1:14" ht="15" customHeight="1">
      <c r="A9" s="1" t="s">
        <v>437</v>
      </c>
      <c r="B9" s="1" t="s">
        <v>28</v>
      </c>
      <c r="C9" s="7">
        <v>0.32</v>
      </c>
      <c r="D9" s="9" t="s">
        <v>1149</v>
      </c>
      <c r="E9" s="9" t="s">
        <v>1150</v>
      </c>
      <c r="F9" s="9" t="s">
        <v>1151</v>
      </c>
      <c r="G9" s="1" t="s">
        <v>46</v>
      </c>
      <c r="H9" s="9" t="s">
        <v>1161</v>
      </c>
      <c r="I9" s="9" t="s">
        <v>1162</v>
      </c>
      <c r="J9" s="9" t="s">
        <v>1163</v>
      </c>
      <c r="K9" s="1" t="s">
        <v>330</v>
      </c>
      <c r="L9" s="9" t="s">
        <v>1164</v>
      </c>
      <c r="M9" s="9" t="s">
        <v>1165</v>
      </c>
      <c r="N9" s="9" t="s">
        <v>1166</v>
      </c>
    </row>
    <row r="10" spans="1:14" ht="15" customHeight="1">
      <c r="A10" s="1" t="s">
        <v>444</v>
      </c>
      <c r="B10" s="1" t="s">
        <v>278</v>
      </c>
      <c r="C10" s="7">
        <v>0.31</v>
      </c>
      <c r="D10" s="9" t="s">
        <v>1167</v>
      </c>
      <c r="E10" s="9" t="s">
        <v>1168</v>
      </c>
      <c r="F10" s="9" t="s">
        <v>1169</v>
      </c>
      <c r="G10" s="1" t="s">
        <v>66</v>
      </c>
      <c r="H10" s="9" t="s">
        <v>1170</v>
      </c>
      <c r="I10" s="9" t="s">
        <v>1171</v>
      </c>
      <c r="J10" s="9" t="s">
        <v>1172</v>
      </c>
      <c r="K10" s="1" t="s">
        <v>306</v>
      </c>
      <c r="L10" s="9" t="s">
        <v>1173</v>
      </c>
      <c r="M10" s="9" t="s">
        <v>1174</v>
      </c>
      <c r="N10" s="9" t="s">
        <v>1175</v>
      </c>
    </row>
    <row r="11" spans="1:14" ht="15" customHeight="1">
      <c r="A11" s="1" t="s">
        <v>8</v>
      </c>
      <c r="B11" s="1" t="s">
        <v>294</v>
      </c>
      <c r="C11" s="7">
        <v>0.47</v>
      </c>
      <c r="D11" s="9" t="s">
        <v>1176</v>
      </c>
      <c r="E11" s="9" t="s">
        <v>1177</v>
      </c>
      <c r="F11" s="9" t="s">
        <v>1178</v>
      </c>
      <c r="G11" s="1" t="s">
        <v>34</v>
      </c>
      <c r="H11" s="9" t="s">
        <v>1146</v>
      </c>
      <c r="I11" s="9" t="s">
        <v>1147</v>
      </c>
      <c r="J11" s="9" t="s">
        <v>1148</v>
      </c>
      <c r="K11" s="1" t="s">
        <v>290</v>
      </c>
      <c r="L11" s="9" t="s">
        <v>1179</v>
      </c>
      <c r="M11" s="9" t="s">
        <v>1180</v>
      </c>
      <c r="N11" s="9" t="s">
        <v>1181</v>
      </c>
    </row>
    <row r="12" spans="1:14" ht="15" customHeight="1">
      <c r="A12" s="1" t="s">
        <v>458</v>
      </c>
      <c r="B12" s="1" t="s">
        <v>28</v>
      </c>
      <c r="C12" s="7">
        <v>0.28999999999999998</v>
      </c>
      <c r="D12" s="9" t="s">
        <v>1149</v>
      </c>
      <c r="E12" s="9" t="s">
        <v>1150</v>
      </c>
      <c r="F12" s="9" t="s">
        <v>1151</v>
      </c>
      <c r="G12" s="1" t="s">
        <v>30</v>
      </c>
      <c r="H12" s="9" t="s">
        <v>1143</v>
      </c>
      <c r="I12" s="9" t="s">
        <v>1144</v>
      </c>
      <c r="J12" s="9" t="s">
        <v>1145</v>
      </c>
      <c r="K12" s="1" t="s">
        <v>32</v>
      </c>
      <c r="L12" s="9" t="s">
        <v>1182</v>
      </c>
      <c r="M12" s="9" t="s">
        <v>1183</v>
      </c>
      <c r="N12" s="9" t="s">
        <v>1184</v>
      </c>
    </row>
    <row r="13" spans="1:14" ht="15" customHeight="1">
      <c r="A13" s="1" t="s">
        <v>464</v>
      </c>
      <c r="B13" s="1" t="s">
        <v>282</v>
      </c>
      <c r="C13" s="7">
        <v>0.24</v>
      </c>
      <c r="D13" s="9" t="s">
        <v>1185</v>
      </c>
      <c r="E13" s="9" t="s">
        <v>1186</v>
      </c>
      <c r="F13" s="9" t="s">
        <v>1187</v>
      </c>
      <c r="G13" s="1" t="s">
        <v>212</v>
      </c>
      <c r="H13" s="9" t="s">
        <v>1188</v>
      </c>
      <c r="I13" s="9" t="s">
        <v>1189</v>
      </c>
      <c r="J13" s="9" t="s">
        <v>1190</v>
      </c>
      <c r="K13" s="1" t="s">
        <v>34</v>
      </c>
      <c r="L13" s="9" t="s">
        <v>1146</v>
      </c>
      <c r="M13" s="9" t="s">
        <v>1147</v>
      </c>
      <c r="N13" s="9" t="s">
        <v>1148</v>
      </c>
    </row>
    <row r="14" spans="1:14" ht="15" customHeight="1">
      <c r="A14" s="1" t="s">
        <v>471</v>
      </c>
      <c r="B14" s="1" t="s">
        <v>320</v>
      </c>
      <c r="C14" s="7">
        <v>0.2</v>
      </c>
      <c r="D14" s="9" t="s">
        <v>1191</v>
      </c>
      <c r="E14" s="9" t="s">
        <v>1192</v>
      </c>
      <c r="F14" s="9" t="s">
        <v>1193</v>
      </c>
      <c r="G14" s="1" t="s">
        <v>244</v>
      </c>
      <c r="H14" s="9" t="s">
        <v>1194</v>
      </c>
      <c r="I14" s="9" t="s">
        <v>1195</v>
      </c>
      <c r="J14" s="9" t="s">
        <v>1196</v>
      </c>
      <c r="K14" s="1" t="s">
        <v>28</v>
      </c>
      <c r="L14" s="9" t="s">
        <v>1149</v>
      </c>
      <c r="M14" s="9" t="s">
        <v>1150</v>
      </c>
      <c r="N14" s="9" t="s">
        <v>1151</v>
      </c>
    </row>
    <row r="15" spans="1:14" ht="15" customHeight="1">
      <c r="A15" s="1" t="s">
        <v>478</v>
      </c>
      <c r="B15" s="1" t="s">
        <v>190</v>
      </c>
      <c r="C15" s="7">
        <v>0.35</v>
      </c>
      <c r="D15" s="9" t="s">
        <v>1197</v>
      </c>
      <c r="E15" s="9" t="s">
        <v>1198</v>
      </c>
      <c r="F15" s="9" t="s">
        <v>1199</v>
      </c>
      <c r="G15" s="1" t="s">
        <v>30</v>
      </c>
      <c r="H15" s="9" t="s">
        <v>1143</v>
      </c>
      <c r="I15" s="9" t="s">
        <v>1144</v>
      </c>
      <c r="J15" s="9" t="s">
        <v>1145</v>
      </c>
      <c r="K15" s="1" t="s">
        <v>34</v>
      </c>
      <c r="L15" s="9" t="s">
        <v>1146</v>
      </c>
      <c r="M15" s="9" t="s">
        <v>1147</v>
      </c>
      <c r="N15" s="9" t="s">
        <v>1148</v>
      </c>
    </row>
    <row r="16" spans="1:14" ht="15" customHeight="1">
      <c r="A16" s="1" t="s">
        <v>484</v>
      </c>
      <c r="B16" s="1" t="s">
        <v>264</v>
      </c>
      <c r="C16" s="7">
        <v>0.6</v>
      </c>
      <c r="D16" s="9" t="s">
        <v>1200</v>
      </c>
      <c r="E16" s="9" t="s">
        <v>1201</v>
      </c>
      <c r="F16" s="9" t="s">
        <v>1202</v>
      </c>
      <c r="G16" s="1" t="s">
        <v>48</v>
      </c>
      <c r="H16" s="9" t="s">
        <v>1203</v>
      </c>
      <c r="I16" s="9" t="s">
        <v>1204</v>
      </c>
      <c r="J16" s="9" t="s">
        <v>1205</v>
      </c>
      <c r="K16" s="1" t="s">
        <v>28</v>
      </c>
      <c r="L16" s="9" t="s">
        <v>1149</v>
      </c>
      <c r="M16" s="9" t="s">
        <v>1150</v>
      </c>
      <c r="N16" s="9" t="s">
        <v>1151</v>
      </c>
    </row>
    <row r="17" spans="1:14" ht="24" customHeight="1">
      <c r="A17" s="1" t="s">
        <v>491</v>
      </c>
      <c r="B17" s="1" t="s">
        <v>80</v>
      </c>
      <c r="C17" s="7">
        <v>0.25</v>
      </c>
      <c r="D17" s="9" t="s">
        <v>1206</v>
      </c>
      <c r="E17" s="9" t="s">
        <v>1207</v>
      </c>
      <c r="F17" s="9" t="s">
        <v>1208</v>
      </c>
      <c r="G17" s="1" t="s">
        <v>302</v>
      </c>
      <c r="H17" s="9" t="s">
        <v>1209</v>
      </c>
      <c r="I17" s="9" t="s">
        <v>1210</v>
      </c>
      <c r="J17" s="9" t="s">
        <v>1211</v>
      </c>
      <c r="K17" s="1" t="s">
        <v>374</v>
      </c>
      <c r="L17" s="9" t="s">
        <v>1212</v>
      </c>
      <c r="M17" s="9" t="s">
        <v>1213</v>
      </c>
      <c r="N17" s="9" t="s">
        <v>1214</v>
      </c>
    </row>
    <row r="18" spans="1:14" ht="36" customHeight="1">
      <c r="A18" s="1" t="s">
        <v>499</v>
      </c>
      <c r="B18" s="1" t="s">
        <v>202</v>
      </c>
      <c r="C18" s="7">
        <v>0.2</v>
      </c>
      <c r="D18" s="9" t="s">
        <v>1215</v>
      </c>
      <c r="E18" s="9" t="s">
        <v>1216</v>
      </c>
      <c r="F18" s="9" t="s">
        <v>1217</v>
      </c>
      <c r="G18" s="1" t="s">
        <v>50</v>
      </c>
      <c r="H18" s="9" t="s">
        <v>1218</v>
      </c>
      <c r="I18" s="9" t="s">
        <v>1219</v>
      </c>
      <c r="J18" s="9" t="s">
        <v>1220</v>
      </c>
      <c r="K18" s="1" t="s">
        <v>240</v>
      </c>
      <c r="L18" s="9" t="s">
        <v>1221</v>
      </c>
      <c r="M18" s="9" t="s">
        <v>1222</v>
      </c>
      <c r="N18" s="9" t="s">
        <v>1223</v>
      </c>
    </row>
    <row r="19" spans="1:14" ht="15" customHeight="1">
      <c r="A19" s="1" t="s">
        <v>507</v>
      </c>
      <c r="B19" s="1" t="s">
        <v>56</v>
      </c>
      <c r="C19" s="7">
        <v>0.23</v>
      </c>
      <c r="D19" s="9" t="s">
        <v>1224</v>
      </c>
      <c r="E19" s="9" t="s">
        <v>1225</v>
      </c>
      <c r="F19" s="9" t="s">
        <v>1226</v>
      </c>
      <c r="G19" s="1" t="s">
        <v>392</v>
      </c>
      <c r="H19" s="9" t="s">
        <v>1227</v>
      </c>
      <c r="I19" s="9" t="s">
        <v>1228</v>
      </c>
      <c r="J19" s="9" t="s">
        <v>1229</v>
      </c>
      <c r="K19" s="1" t="s">
        <v>28</v>
      </c>
      <c r="L19" s="9" t="s">
        <v>1149</v>
      </c>
      <c r="M19" s="9" t="s">
        <v>1150</v>
      </c>
      <c r="N19" s="9" t="s">
        <v>1151</v>
      </c>
    </row>
    <row r="20" spans="1:14" ht="15" customHeight="1">
      <c r="A20" s="1" t="s">
        <v>514</v>
      </c>
      <c r="B20" s="1" t="s">
        <v>140</v>
      </c>
      <c r="C20" s="7">
        <v>0.42</v>
      </c>
      <c r="D20" s="9" t="s">
        <v>1230</v>
      </c>
      <c r="E20" s="9" t="s">
        <v>1231</v>
      </c>
      <c r="F20" s="9" t="s">
        <v>1232</v>
      </c>
      <c r="G20" s="1" t="s">
        <v>28</v>
      </c>
      <c r="H20" s="9" t="s">
        <v>1149</v>
      </c>
      <c r="I20" s="9" t="s">
        <v>1150</v>
      </c>
      <c r="J20" s="9" t="s">
        <v>1151</v>
      </c>
      <c r="K20" s="1" t="s">
        <v>30</v>
      </c>
      <c r="L20" s="9" t="s">
        <v>1233</v>
      </c>
      <c r="M20" s="9" t="s">
        <v>1144</v>
      </c>
      <c r="N20" s="9" t="s">
        <v>1145</v>
      </c>
    </row>
    <row r="21" spans="1:14" ht="36" customHeight="1">
      <c r="A21" s="1" t="s">
        <v>521</v>
      </c>
      <c r="B21" s="1" t="s">
        <v>50</v>
      </c>
      <c r="C21" s="7">
        <v>0.3</v>
      </c>
      <c r="D21" s="9" t="s">
        <v>1218</v>
      </c>
      <c r="E21" s="9" t="s">
        <v>1219</v>
      </c>
      <c r="F21" s="9" t="s">
        <v>1234</v>
      </c>
      <c r="G21" s="1" t="s">
        <v>48</v>
      </c>
      <c r="H21" s="9" t="s">
        <v>1203</v>
      </c>
      <c r="I21" s="9" t="s">
        <v>1204</v>
      </c>
      <c r="J21" s="9" t="s">
        <v>1205</v>
      </c>
      <c r="K21" s="1" t="s">
        <v>28</v>
      </c>
      <c r="L21" s="9" t="s">
        <v>1149</v>
      </c>
      <c r="M21" s="9" t="s">
        <v>1150</v>
      </c>
      <c r="N21" s="9" t="s">
        <v>1151</v>
      </c>
    </row>
    <row r="22" spans="1:14" ht="15" customHeight="1">
      <c r="A22" s="1" t="s">
        <v>526</v>
      </c>
      <c r="B22" s="1" t="s">
        <v>250</v>
      </c>
      <c r="C22" s="7">
        <v>0.4</v>
      </c>
      <c r="D22" s="9" t="s">
        <v>1235</v>
      </c>
      <c r="E22" s="9" t="s">
        <v>1236</v>
      </c>
      <c r="F22" s="9" t="s">
        <v>1237</v>
      </c>
      <c r="G22" s="1" t="s">
        <v>60</v>
      </c>
      <c r="H22" s="9" t="s">
        <v>1238</v>
      </c>
      <c r="I22" s="9" t="s">
        <v>1239</v>
      </c>
      <c r="J22" s="9" t="s">
        <v>1240</v>
      </c>
      <c r="K22" s="1" t="s">
        <v>156</v>
      </c>
      <c r="L22" s="9" t="s">
        <v>1241</v>
      </c>
      <c r="M22" s="9" t="s">
        <v>1242</v>
      </c>
      <c r="N22" s="9" t="s">
        <v>1243</v>
      </c>
    </row>
    <row r="23" spans="1:14" ht="15" customHeight="1">
      <c r="A23" s="1" t="s">
        <v>534</v>
      </c>
      <c r="B23" s="1" t="s">
        <v>112</v>
      </c>
      <c r="C23" s="7">
        <v>0.3</v>
      </c>
      <c r="D23" s="9" t="s">
        <v>1244</v>
      </c>
      <c r="E23" s="9" t="s">
        <v>1245</v>
      </c>
      <c r="F23" s="9" t="s">
        <v>1246</v>
      </c>
      <c r="G23" s="1" t="s">
        <v>28</v>
      </c>
      <c r="H23" s="9" t="s">
        <v>1149</v>
      </c>
      <c r="I23" s="9" t="s">
        <v>1150</v>
      </c>
      <c r="J23" s="9" t="s">
        <v>1151</v>
      </c>
      <c r="K23" s="1" t="s">
        <v>188</v>
      </c>
      <c r="L23" s="9" t="s">
        <v>1247</v>
      </c>
      <c r="M23" s="9" t="s">
        <v>1248</v>
      </c>
      <c r="N23" s="9" t="s">
        <v>1249</v>
      </c>
    </row>
    <row r="24" spans="1:14" ht="24" customHeight="1">
      <c r="A24" s="1" t="s">
        <v>541</v>
      </c>
      <c r="B24" s="1" t="s">
        <v>404</v>
      </c>
      <c r="C24" s="7">
        <v>0.5</v>
      </c>
      <c r="D24" s="9" t="s">
        <v>1250</v>
      </c>
      <c r="E24" s="9" t="s">
        <v>1251</v>
      </c>
      <c r="F24" s="9" t="s">
        <v>1252</v>
      </c>
      <c r="G24" s="1" t="s">
        <v>28</v>
      </c>
      <c r="H24" s="9" t="s">
        <v>1149</v>
      </c>
      <c r="I24" s="9" t="s">
        <v>1150</v>
      </c>
      <c r="J24" s="9" t="s">
        <v>1151</v>
      </c>
      <c r="K24" s="1" t="s">
        <v>314</v>
      </c>
      <c r="L24" s="9" t="s">
        <v>1253</v>
      </c>
      <c r="M24" s="9" t="s">
        <v>1254</v>
      </c>
      <c r="N24" s="9" t="s">
        <v>1255</v>
      </c>
    </row>
    <row r="25" spans="1:14" ht="15" customHeight="1">
      <c r="A25" s="1" t="s">
        <v>548</v>
      </c>
      <c r="B25" s="1" t="s">
        <v>316</v>
      </c>
      <c r="C25" s="7">
        <v>0.15</v>
      </c>
      <c r="D25" s="9" t="s">
        <v>1256</v>
      </c>
      <c r="E25" s="9" t="s">
        <v>1257</v>
      </c>
      <c r="F25" s="9" t="s">
        <v>1258</v>
      </c>
      <c r="G25" s="1" t="s">
        <v>30</v>
      </c>
      <c r="H25" s="9" t="s">
        <v>1143</v>
      </c>
      <c r="I25" s="9" t="s">
        <v>1144</v>
      </c>
      <c r="J25" s="9" t="s">
        <v>1145</v>
      </c>
      <c r="K25" s="1" t="s">
        <v>28</v>
      </c>
      <c r="L25" s="9" t="s">
        <v>1149</v>
      </c>
      <c r="M25" s="9" t="s">
        <v>1150</v>
      </c>
      <c r="N25" s="9" t="s">
        <v>1151</v>
      </c>
    </row>
    <row r="26" spans="1:14" ht="15" customHeight="1">
      <c r="A26" s="1" t="s">
        <v>554</v>
      </c>
      <c r="B26" s="1" t="s">
        <v>52</v>
      </c>
      <c r="C26" s="7">
        <v>0.25</v>
      </c>
      <c r="D26" s="9" t="s">
        <v>1259</v>
      </c>
      <c r="E26" s="9" t="s">
        <v>1260</v>
      </c>
      <c r="F26" s="9" t="s">
        <v>1261</v>
      </c>
      <c r="G26" s="1" t="s">
        <v>28</v>
      </c>
      <c r="H26" s="9" t="s">
        <v>1149</v>
      </c>
      <c r="I26" s="9" t="s">
        <v>1150</v>
      </c>
      <c r="J26" s="9" t="s">
        <v>1151</v>
      </c>
      <c r="K26" s="1" t="s">
        <v>30</v>
      </c>
      <c r="L26" s="9" t="s">
        <v>1233</v>
      </c>
      <c r="M26" s="9" t="s">
        <v>1144</v>
      </c>
      <c r="N26" s="9" t="s">
        <v>1145</v>
      </c>
    </row>
    <row r="27" spans="1:14" ht="24" customHeight="1">
      <c r="A27" s="1" t="s">
        <v>560</v>
      </c>
      <c r="B27" s="1" t="s">
        <v>114</v>
      </c>
      <c r="C27" s="7">
        <v>0.44</v>
      </c>
      <c r="D27" s="9" t="s">
        <v>1262</v>
      </c>
      <c r="E27" s="9" t="s">
        <v>1263</v>
      </c>
      <c r="F27" s="9" t="s">
        <v>1264</v>
      </c>
      <c r="G27" s="1" t="s">
        <v>32</v>
      </c>
      <c r="H27" s="9" t="s">
        <v>1182</v>
      </c>
      <c r="I27" s="9" t="s">
        <v>1183</v>
      </c>
      <c r="J27" s="9" t="s">
        <v>1265</v>
      </c>
      <c r="K27" s="1" t="s">
        <v>72</v>
      </c>
      <c r="L27" s="9" t="s">
        <v>1266</v>
      </c>
      <c r="M27" s="9" t="s">
        <v>1267</v>
      </c>
      <c r="N27" s="9" t="s">
        <v>1268</v>
      </c>
    </row>
    <row r="28" spans="1:14" ht="24" customHeight="1">
      <c r="A28" s="1" t="s">
        <v>567</v>
      </c>
      <c r="B28" s="1" t="s">
        <v>569</v>
      </c>
      <c r="C28" s="7">
        <v>0.15</v>
      </c>
      <c r="D28" s="9" t="s">
        <v>1269</v>
      </c>
      <c r="E28" s="9" t="s">
        <v>1270</v>
      </c>
      <c r="F28" s="9" t="s">
        <v>1271</v>
      </c>
      <c r="G28" s="1" t="s">
        <v>196</v>
      </c>
      <c r="H28" s="9" t="s">
        <v>1272</v>
      </c>
      <c r="I28" s="9" t="s">
        <v>1273</v>
      </c>
      <c r="J28" s="9" t="s">
        <v>1274</v>
      </c>
      <c r="K28" s="1" t="s">
        <v>30</v>
      </c>
      <c r="L28" s="9" t="s">
        <v>1233</v>
      </c>
      <c r="M28" s="9" t="s">
        <v>1144</v>
      </c>
      <c r="N28" s="9" t="s">
        <v>1145</v>
      </c>
    </row>
    <row r="29" spans="1:14" ht="15" customHeight="1">
      <c r="A29" s="1" t="s">
        <v>575</v>
      </c>
      <c r="B29" s="1" t="s">
        <v>122</v>
      </c>
      <c r="C29" s="7">
        <v>0.22</v>
      </c>
      <c r="D29" s="9" t="s">
        <v>1275</v>
      </c>
      <c r="E29" s="9" t="s">
        <v>1276</v>
      </c>
      <c r="F29" s="9" t="s">
        <v>1277</v>
      </c>
      <c r="G29" s="1" t="s">
        <v>74</v>
      </c>
      <c r="H29" s="9" t="s">
        <v>1278</v>
      </c>
      <c r="I29" s="9" t="s">
        <v>1279</v>
      </c>
      <c r="J29" s="9" t="s">
        <v>1280</v>
      </c>
      <c r="K29" s="1" t="s">
        <v>28</v>
      </c>
      <c r="L29" s="9" t="s">
        <v>1149</v>
      </c>
      <c r="M29" s="9" t="s">
        <v>1150</v>
      </c>
      <c r="N29" s="9" t="s">
        <v>1151</v>
      </c>
    </row>
    <row r="30" spans="1:14" ht="15" customHeight="1">
      <c r="A30" s="1" t="s">
        <v>582</v>
      </c>
      <c r="B30" s="1" t="s">
        <v>332</v>
      </c>
      <c r="C30" s="7">
        <v>0.5</v>
      </c>
      <c r="D30" s="9" t="s">
        <v>1281</v>
      </c>
      <c r="E30" s="9" t="s">
        <v>1282</v>
      </c>
      <c r="F30" s="9" t="s">
        <v>1283</v>
      </c>
      <c r="G30" s="1" t="s">
        <v>46</v>
      </c>
      <c r="H30" s="9" t="s">
        <v>1161</v>
      </c>
      <c r="I30" s="9" t="s">
        <v>1162</v>
      </c>
      <c r="J30" s="9" t="s">
        <v>1163</v>
      </c>
      <c r="K30" s="1" t="s">
        <v>28</v>
      </c>
      <c r="L30" s="9" t="s">
        <v>1149</v>
      </c>
      <c r="M30" s="9" t="s">
        <v>1150</v>
      </c>
      <c r="N30" s="9" t="s">
        <v>1151</v>
      </c>
    </row>
    <row r="31" spans="1:14" ht="15" customHeight="1">
      <c r="A31" s="1" t="s">
        <v>588</v>
      </c>
      <c r="B31" s="1" t="s">
        <v>48</v>
      </c>
      <c r="C31" s="7">
        <v>0.54</v>
      </c>
      <c r="D31" s="9" t="s">
        <v>1203</v>
      </c>
      <c r="E31" s="9" t="s">
        <v>1284</v>
      </c>
      <c r="F31" s="9" t="s">
        <v>1285</v>
      </c>
      <c r="G31" s="1" t="s">
        <v>238</v>
      </c>
      <c r="H31" s="9" t="s">
        <v>1286</v>
      </c>
      <c r="I31" s="9" t="s">
        <v>1287</v>
      </c>
      <c r="J31" s="9" t="s">
        <v>1288</v>
      </c>
      <c r="K31" s="1" t="s">
        <v>348</v>
      </c>
      <c r="L31" s="9" t="s">
        <v>1289</v>
      </c>
      <c r="M31" s="9" t="s">
        <v>1290</v>
      </c>
      <c r="N31" s="9" t="s">
        <v>1291</v>
      </c>
    </row>
    <row r="32" spans="1:14" ht="15" customHeight="1">
      <c r="A32" s="1" t="s">
        <v>595</v>
      </c>
      <c r="B32" s="1" t="s">
        <v>32</v>
      </c>
      <c r="C32" s="7">
        <v>0.2</v>
      </c>
      <c r="D32" s="9" t="s">
        <v>1182</v>
      </c>
      <c r="E32" s="9" t="s">
        <v>1183</v>
      </c>
      <c r="F32" s="9" t="s">
        <v>1265</v>
      </c>
      <c r="G32" s="1" t="s">
        <v>28</v>
      </c>
      <c r="H32" s="9" t="s">
        <v>1149</v>
      </c>
      <c r="I32" s="9" t="s">
        <v>1150</v>
      </c>
      <c r="J32" s="9" t="s">
        <v>1151</v>
      </c>
      <c r="K32" s="1" t="s">
        <v>234</v>
      </c>
      <c r="L32" s="9" t="s">
        <v>1292</v>
      </c>
      <c r="M32" s="9" t="s">
        <v>1293</v>
      </c>
      <c r="N32" s="9" t="s">
        <v>1294</v>
      </c>
    </row>
    <row r="33" spans="1:14" ht="36" customHeight="1">
      <c r="A33" s="1" t="s">
        <v>601</v>
      </c>
      <c r="B33" s="1" t="s">
        <v>30</v>
      </c>
      <c r="C33" s="7">
        <v>0.3</v>
      </c>
      <c r="D33" s="9" t="s">
        <v>1143</v>
      </c>
      <c r="E33" s="9" t="s">
        <v>1144</v>
      </c>
      <c r="F33" s="9" t="s">
        <v>1145</v>
      </c>
      <c r="G33" s="1" t="s">
        <v>50</v>
      </c>
      <c r="H33" s="9" t="s">
        <v>1218</v>
      </c>
      <c r="I33" s="9" t="s">
        <v>1219</v>
      </c>
      <c r="J33" s="9" t="s">
        <v>1220</v>
      </c>
      <c r="K33" s="1" t="s">
        <v>248</v>
      </c>
      <c r="L33" s="9" t="s">
        <v>1295</v>
      </c>
      <c r="M33" s="9" t="s">
        <v>1296</v>
      </c>
      <c r="N33" s="9" t="s">
        <v>1297</v>
      </c>
    </row>
    <row r="34" spans="1:14" ht="15" customHeight="1">
      <c r="A34" s="1" t="s">
        <v>607</v>
      </c>
      <c r="B34" s="1" t="s">
        <v>64</v>
      </c>
      <c r="C34" s="7">
        <v>0.35</v>
      </c>
      <c r="D34" s="9" t="s">
        <v>1298</v>
      </c>
      <c r="E34" s="9" t="s">
        <v>1299</v>
      </c>
      <c r="F34" s="9" t="s">
        <v>1300</v>
      </c>
      <c r="G34" s="1" t="s">
        <v>276</v>
      </c>
      <c r="H34" s="9" t="s">
        <v>1301</v>
      </c>
      <c r="I34" s="9" t="s">
        <v>1302</v>
      </c>
      <c r="J34" s="9" t="s">
        <v>1303</v>
      </c>
      <c r="K34" s="1" t="s">
        <v>158</v>
      </c>
      <c r="L34" s="9" t="s">
        <v>1304</v>
      </c>
      <c r="M34" s="9" t="s">
        <v>1305</v>
      </c>
      <c r="N34" s="9" t="s">
        <v>1306</v>
      </c>
    </row>
    <row r="35" spans="1:14" ht="15" customHeight="1">
      <c r="A35" s="1" t="s">
        <v>615</v>
      </c>
      <c r="B35" s="1" t="s">
        <v>617</v>
      </c>
      <c r="C35" s="7">
        <v>0.25</v>
      </c>
      <c r="D35" s="9" t="s">
        <v>1307</v>
      </c>
      <c r="E35" s="9" t="s">
        <v>1168</v>
      </c>
      <c r="F35" s="9" t="s">
        <v>1308</v>
      </c>
      <c r="G35" s="1" t="s">
        <v>28</v>
      </c>
      <c r="H35" s="9" t="s">
        <v>1149</v>
      </c>
      <c r="I35" s="9" t="s">
        <v>1150</v>
      </c>
      <c r="J35" s="9" t="s">
        <v>1151</v>
      </c>
      <c r="K35" s="1" t="s">
        <v>46</v>
      </c>
      <c r="L35" s="9" t="s">
        <v>1161</v>
      </c>
      <c r="M35" s="9" t="s">
        <v>1309</v>
      </c>
      <c r="N35" s="9" t="s">
        <v>1310</v>
      </c>
    </row>
    <row r="36" spans="1:14" ht="15" customHeight="1">
      <c r="A36" s="1" t="s">
        <v>622</v>
      </c>
      <c r="B36" s="1" t="s">
        <v>76</v>
      </c>
      <c r="C36" s="7">
        <v>0.2</v>
      </c>
      <c r="D36" s="9" t="s">
        <v>1311</v>
      </c>
      <c r="E36" s="9" t="s">
        <v>1312</v>
      </c>
      <c r="F36" s="9" t="s">
        <v>1313</v>
      </c>
      <c r="G36" s="1" t="s">
        <v>138</v>
      </c>
      <c r="H36" s="9" t="s">
        <v>1314</v>
      </c>
      <c r="I36" s="9" t="s">
        <v>1315</v>
      </c>
      <c r="J36" s="9" t="s">
        <v>1316</v>
      </c>
      <c r="K36" s="1" t="s">
        <v>192</v>
      </c>
      <c r="L36" s="9" t="s">
        <v>1317</v>
      </c>
      <c r="M36" s="9" t="s">
        <v>1318</v>
      </c>
      <c r="N36" s="9" t="s">
        <v>1319</v>
      </c>
    </row>
    <row r="37" spans="1:14" ht="24" customHeight="1">
      <c r="A37" s="1" t="s">
        <v>630</v>
      </c>
      <c r="B37" s="1" t="s">
        <v>304</v>
      </c>
      <c r="C37" s="7">
        <v>0.22</v>
      </c>
      <c r="D37" s="9" t="s">
        <v>1320</v>
      </c>
      <c r="E37" s="9" t="s">
        <v>1321</v>
      </c>
      <c r="F37" s="9" t="s">
        <v>1322</v>
      </c>
      <c r="G37" s="1" t="s">
        <v>346</v>
      </c>
      <c r="H37" s="9" t="s">
        <v>1323</v>
      </c>
      <c r="I37" s="9" t="s">
        <v>1324</v>
      </c>
      <c r="J37" s="9" t="s">
        <v>1325</v>
      </c>
      <c r="K37" s="1" t="s">
        <v>36</v>
      </c>
      <c r="L37" s="9" t="s">
        <v>1152</v>
      </c>
      <c r="M37" s="9" t="s">
        <v>1153</v>
      </c>
      <c r="N37" s="9" t="s">
        <v>1154</v>
      </c>
    </row>
    <row r="38" spans="1:14" ht="15" customHeight="1">
      <c r="A38" s="1" t="s">
        <v>637</v>
      </c>
      <c r="B38" s="1" t="s">
        <v>44</v>
      </c>
      <c r="C38" s="7">
        <v>0.4</v>
      </c>
      <c r="D38" s="9" t="s">
        <v>1326</v>
      </c>
      <c r="E38" s="9" t="s">
        <v>1327</v>
      </c>
      <c r="F38" s="9" t="s">
        <v>1328</v>
      </c>
      <c r="G38" s="1" t="s">
        <v>274</v>
      </c>
      <c r="H38" s="9" t="s">
        <v>1329</v>
      </c>
      <c r="I38" s="9" t="s">
        <v>1330</v>
      </c>
      <c r="J38" s="9" t="s">
        <v>1331</v>
      </c>
      <c r="K38" s="1" t="s">
        <v>64</v>
      </c>
      <c r="L38" s="9" t="s">
        <v>1298</v>
      </c>
      <c r="M38" s="9" t="s">
        <v>1332</v>
      </c>
      <c r="N38" s="9" t="s">
        <v>1333</v>
      </c>
    </row>
    <row r="39" spans="1:14" ht="24" customHeight="1">
      <c r="A39" s="1" t="s">
        <v>644</v>
      </c>
      <c r="B39" s="1" t="s">
        <v>70</v>
      </c>
      <c r="C39" s="7">
        <v>0.33</v>
      </c>
      <c r="D39" s="9" t="s">
        <v>1334</v>
      </c>
      <c r="E39" s="9" t="s">
        <v>1335</v>
      </c>
      <c r="F39" s="9" t="s">
        <v>1336</v>
      </c>
      <c r="G39" s="1" t="s">
        <v>386</v>
      </c>
      <c r="H39" s="9" t="s">
        <v>1337</v>
      </c>
      <c r="I39" s="9" t="s">
        <v>1338</v>
      </c>
      <c r="J39" s="9" t="s">
        <v>1339</v>
      </c>
      <c r="K39" s="1" t="s">
        <v>362</v>
      </c>
      <c r="L39" s="9" t="s">
        <v>1340</v>
      </c>
      <c r="M39" s="9" t="s">
        <v>1341</v>
      </c>
      <c r="N39" s="9" t="s">
        <v>1342</v>
      </c>
    </row>
    <row r="40" spans="1:14" ht="15" customHeight="1">
      <c r="A40" s="1" t="s">
        <v>652</v>
      </c>
      <c r="B40" s="1" t="s">
        <v>364</v>
      </c>
      <c r="C40" s="7">
        <v>0.22</v>
      </c>
      <c r="D40" s="9" t="s">
        <v>1343</v>
      </c>
      <c r="E40" s="9" t="s">
        <v>1344</v>
      </c>
      <c r="F40" s="9" t="s">
        <v>1345</v>
      </c>
      <c r="G40" s="1" t="s">
        <v>28</v>
      </c>
      <c r="H40" s="9" t="s">
        <v>1149</v>
      </c>
      <c r="I40" s="9" t="s">
        <v>1150</v>
      </c>
      <c r="J40" s="9" t="s">
        <v>1151</v>
      </c>
      <c r="K40" s="1" t="s">
        <v>30</v>
      </c>
      <c r="L40" s="9" t="s">
        <v>1233</v>
      </c>
      <c r="M40" s="9" t="s">
        <v>1144</v>
      </c>
      <c r="N40" s="9" t="s">
        <v>1145</v>
      </c>
    </row>
    <row r="41" spans="1:14" ht="15" customHeight="1">
      <c r="A41" s="1" t="s">
        <v>658</v>
      </c>
      <c r="B41" s="1" t="s">
        <v>338</v>
      </c>
      <c r="C41" s="7">
        <v>0.27</v>
      </c>
      <c r="D41" s="9" t="s">
        <v>1346</v>
      </c>
      <c r="E41" s="9" t="s">
        <v>1347</v>
      </c>
      <c r="F41" s="9" t="s">
        <v>1348</v>
      </c>
      <c r="G41" s="1" t="s">
        <v>150</v>
      </c>
      <c r="H41" s="9" t="s">
        <v>1349</v>
      </c>
      <c r="I41" s="9" t="s">
        <v>1350</v>
      </c>
      <c r="J41" s="9" t="s">
        <v>1351</v>
      </c>
      <c r="K41" s="1" t="s">
        <v>142</v>
      </c>
      <c r="L41" s="9" t="s">
        <v>1352</v>
      </c>
      <c r="M41" s="9" t="s">
        <v>1353</v>
      </c>
      <c r="N41" s="9" t="s">
        <v>1354</v>
      </c>
    </row>
    <row r="42" spans="1:14" ht="24" customHeight="1">
      <c r="A42" s="1" t="s">
        <v>666</v>
      </c>
      <c r="B42" s="1" t="s">
        <v>322</v>
      </c>
      <c r="C42" s="7">
        <v>0.15</v>
      </c>
      <c r="D42" s="9" t="s">
        <v>1355</v>
      </c>
      <c r="E42" s="9" t="s">
        <v>1356</v>
      </c>
      <c r="F42" s="9" t="s">
        <v>1357</v>
      </c>
      <c r="G42" s="1" t="s">
        <v>390</v>
      </c>
      <c r="H42" s="9" t="s">
        <v>1358</v>
      </c>
      <c r="I42" s="9" t="s">
        <v>1359</v>
      </c>
      <c r="J42" s="9" t="s">
        <v>1360</v>
      </c>
      <c r="K42" s="1" t="s">
        <v>270</v>
      </c>
      <c r="L42" s="9" t="s">
        <v>1361</v>
      </c>
      <c r="M42" s="9" t="s">
        <v>1362</v>
      </c>
      <c r="N42" s="9" t="s">
        <v>1363</v>
      </c>
    </row>
    <row r="43" spans="1:14" ht="15" customHeight="1">
      <c r="A43" s="1" t="s">
        <v>674</v>
      </c>
      <c r="B43" s="1" t="s">
        <v>394</v>
      </c>
      <c r="C43" s="7">
        <v>0.43</v>
      </c>
      <c r="D43" s="9" t="s">
        <v>1364</v>
      </c>
      <c r="E43" s="9" t="s">
        <v>1365</v>
      </c>
      <c r="F43" s="9" t="s">
        <v>1366</v>
      </c>
      <c r="G43" s="1" t="s">
        <v>236</v>
      </c>
      <c r="H43" s="9" t="s">
        <v>1367</v>
      </c>
      <c r="I43" s="9" t="s">
        <v>1368</v>
      </c>
      <c r="J43" s="9" t="s">
        <v>1369</v>
      </c>
      <c r="K43" s="1" t="s">
        <v>312</v>
      </c>
      <c r="L43" s="9" t="s">
        <v>1370</v>
      </c>
      <c r="M43" s="9" t="s">
        <v>1371</v>
      </c>
      <c r="N43" s="9" t="s">
        <v>1372</v>
      </c>
    </row>
    <row r="44" spans="1:14" ht="15" customHeight="1">
      <c r="A44" s="1" t="s">
        <v>682</v>
      </c>
      <c r="B44" s="1" t="s">
        <v>40</v>
      </c>
      <c r="C44" s="7">
        <v>0.3</v>
      </c>
      <c r="D44" s="9" t="s">
        <v>1307</v>
      </c>
      <c r="E44" s="9" t="s">
        <v>1373</v>
      </c>
      <c r="F44" s="9" t="s">
        <v>1308</v>
      </c>
      <c r="G44" s="1" t="s">
        <v>30</v>
      </c>
      <c r="H44" s="9" t="s">
        <v>1143</v>
      </c>
      <c r="I44" s="9" t="s">
        <v>1144</v>
      </c>
      <c r="J44" s="9" t="s">
        <v>1145</v>
      </c>
      <c r="K44" s="1" t="s">
        <v>685</v>
      </c>
      <c r="L44" s="9" t="s">
        <v>1146</v>
      </c>
      <c r="M44" s="9" t="s">
        <v>1147</v>
      </c>
      <c r="N44" s="9" t="s">
        <v>1148</v>
      </c>
    </row>
    <row r="45" spans="1:14" ht="24" customHeight="1">
      <c r="A45" s="1" t="s">
        <v>688</v>
      </c>
      <c r="B45" s="1" t="s">
        <v>36</v>
      </c>
      <c r="C45" s="7">
        <v>0.3</v>
      </c>
      <c r="D45" s="9" t="s">
        <v>1152</v>
      </c>
      <c r="E45" s="9" t="s">
        <v>1153</v>
      </c>
      <c r="F45" s="9" t="s">
        <v>1154</v>
      </c>
      <c r="G45" s="1" t="s">
        <v>54</v>
      </c>
      <c r="H45" s="9" t="s">
        <v>1155</v>
      </c>
      <c r="I45" s="9" t="s">
        <v>1156</v>
      </c>
      <c r="J45" s="9" t="s">
        <v>1157</v>
      </c>
      <c r="K45" s="1" t="s">
        <v>252</v>
      </c>
      <c r="L45" s="9" t="s">
        <v>1374</v>
      </c>
      <c r="M45" s="9" t="s">
        <v>1375</v>
      </c>
      <c r="N45" s="9" t="s">
        <v>1376</v>
      </c>
    </row>
    <row r="46" spans="1:14" ht="24" customHeight="1">
      <c r="A46" s="1" t="s">
        <v>694</v>
      </c>
      <c r="B46" s="1" t="s">
        <v>242</v>
      </c>
      <c r="C46" s="7">
        <v>0.18</v>
      </c>
      <c r="D46" s="9" t="s">
        <v>1377</v>
      </c>
      <c r="E46" s="9" t="s">
        <v>1378</v>
      </c>
      <c r="F46" s="9" t="s">
        <v>1379</v>
      </c>
      <c r="G46" s="1" t="s">
        <v>160</v>
      </c>
      <c r="H46" s="9" t="s">
        <v>1380</v>
      </c>
      <c r="I46" s="9" t="s">
        <v>1381</v>
      </c>
      <c r="J46" s="9" t="s">
        <v>1382</v>
      </c>
      <c r="K46" s="1" t="s">
        <v>120</v>
      </c>
      <c r="L46" s="9" t="s">
        <v>1383</v>
      </c>
      <c r="M46" s="9" t="s">
        <v>1384</v>
      </c>
      <c r="N46" s="9" t="s">
        <v>1385</v>
      </c>
    </row>
    <row r="47" spans="1:14" ht="15" customHeight="1">
      <c r="A47" s="1" t="s">
        <v>702</v>
      </c>
      <c r="B47" s="1" t="s">
        <v>328</v>
      </c>
      <c r="C47" s="7">
        <v>0.15</v>
      </c>
      <c r="D47" s="9" t="s">
        <v>1386</v>
      </c>
      <c r="E47" s="9" t="s">
        <v>1387</v>
      </c>
      <c r="F47" s="9" t="s">
        <v>1388</v>
      </c>
      <c r="G47" s="1" t="s">
        <v>388</v>
      </c>
      <c r="H47" s="9" t="s">
        <v>1389</v>
      </c>
      <c r="I47" s="9" t="s">
        <v>1390</v>
      </c>
      <c r="J47" s="9" t="s">
        <v>1391</v>
      </c>
      <c r="K47" s="1" t="s">
        <v>28</v>
      </c>
      <c r="L47" s="9" t="s">
        <v>1149</v>
      </c>
      <c r="M47" s="9" t="s">
        <v>1150</v>
      </c>
      <c r="N47" s="9" t="s">
        <v>1151</v>
      </c>
    </row>
    <row r="48" spans="1:14" ht="15" customHeight="1">
      <c r="A48" s="1" t="s">
        <v>709</v>
      </c>
      <c r="B48" s="1" t="s">
        <v>40</v>
      </c>
      <c r="C48" s="7">
        <v>0.2</v>
      </c>
      <c r="D48" s="9" t="s">
        <v>1307</v>
      </c>
      <c r="E48" s="9" t="s">
        <v>1373</v>
      </c>
      <c r="F48" s="9" t="s">
        <v>1308</v>
      </c>
      <c r="G48" s="1" t="s">
        <v>72</v>
      </c>
      <c r="H48" s="9" t="s">
        <v>1266</v>
      </c>
      <c r="I48" s="9" t="s">
        <v>1392</v>
      </c>
      <c r="J48" s="9" t="s">
        <v>1393</v>
      </c>
      <c r="K48" s="1" t="s">
        <v>32</v>
      </c>
      <c r="L48" s="9" t="s">
        <v>1182</v>
      </c>
      <c r="M48" s="9" t="s">
        <v>1183</v>
      </c>
      <c r="N48" s="9" t="s">
        <v>1184</v>
      </c>
    </row>
    <row r="49" spans="1:14" ht="24" customHeight="1">
      <c r="A49" s="1" t="s">
        <v>714</v>
      </c>
      <c r="B49" s="1" t="s">
        <v>178</v>
      </c>
      <c r="C49" s="7">
        <v>0.25</v>
      </c>
      <c r="D49" s="9" t="s">
        <v>1394</v>
      </c>
      <c r="E49" s="9" t="s">
        <v>1395</v>
      </c>
      <c r="F49" s="9" t="s">
        <v>1396</v>
      </c>
      <c r="G49" s="1" t="s">
        <v>406</v>
      </c>
      <c r="H49" s="9" t="s">
        <v>1394</v>
      </c>
      <c r="I49" s="9" t="s">
        <v>1397</v>
      </c>
      <c r="J49" s="9" t="s">
        <v>1398</v>
      </c>
      <c r="K49" s="1" t="s">
        <v>98</v>
      </c>
      <c r="L49" s="9" t="s">
        <v>1399</v>
      </c>
      <c r="M49" s="9" t="s">
        <v>1400</v>
      </c>
      <c r="N49" s="9" t="s">
        <v>1401</v>
      </c>
    </row>
    <row r="50" spans="1:14" ht="15" customHeight="1">
      <c r="A50" s="1" t="s">
        <v>721</v>
      </c>
      <c r="B50" s="1" t="s">
        <v>194</v>
      </c>
      <c r="C50" s="7">
        <v>0.3</v>
      </c>
      <c r="D50" s="9" t="s">
        <v>1402</v>
      </c>
      <c r="E50" s="9" t="s">
        <v>1403</v>
      </c>
      <c r="F50" s="9" t="s">
        <v>1404</v>
      </c>
      <c r="G50" s="1" t="s">
        <v>168</v>
      </c>
      <c r="H50" s="9" t="s">
        <v>1405</v>
      </c>
      <c r="I50" s="9" t="s">
        <v>1406</v>
      </c>
      <c r="J50" s="9" t="s">
        <v>1407</v>
      </c>
      <c r="K50" s="1" t="s">
        <v>28</v>
      </c>
      <c r="L50" s="9" t="s">
        <v>1149</v>
      </c>
      <c r="M50" s="9" t="s">
        <v>1150</v>
      </c>
      <c r="N50" s="9" t="s">
        <v>1151</v>
      </c>
    </row>
    <row r="51" spans="1:14" ht="15" customHeight="1">
      <c r="A51" s="1" t="s">
        <v>728</v>
      </c>
      <c r="B51" s="1" t="s">
        <v>376</v>
      </c>
      <c r="C51" s="7">
        <v>0.25</v>
      </c>
      <c r="D51" s="9" t="s">
        <v>1408</v>
      </c>
      <c r="E51" s="9" t="s">
        <v>1409</v>
      </c>
      <c r="F51" s="9" t="s">
        <v>1410</v>
      </c>
      <c r="G51" s="1" t="s">
        <v>340</v>
      </c>
      <c r="H51" s="9" t="s">
        <v>1411</v>
      </c>
      <c r="I51" s="9" t="s">
        <v>1412</v>
      </c>
      <c r="J51" s="9" t="s">
        <v>1413</v>
      </c>
      <c r="K51" s="1" t="s">
        <v>206</v>
      </c>
      <c r="L51" s="9" t="s">
        <v>1414</v>
      </c>
      <c r="M51" s="9" t="s">
        <v>1415</v>
      </c>
      <c r="N51" s="9" t="s">
        <v>1416</v>
      </c>
    </row>
    <row r="52" spans="1:14" ht="24" customHeight="1">
      <c r="A52" s="1" t="s">
        <v>736</v>
      </c>
      <c r="B52" s="1" t="s">
        <v>60</v>
      </c>
      <c r="C52" s="7">
        <v>0.2</v>
      </c>
      <c r="D52" s="9" t="s">
        <v>1238</v>
      </c>
      <c r="E52" s="9" t="s">
        <v>1417</v>
      </c>
      <c r="F52" s="9" t="s">
        <v>1418</v>
      </c>
      <c r="G52" s="1" t="s">
        <v>28</v>
      </c>
      <c r="H52" s="9" t="s">
        <v>1149</v>
      </c>
      <c r="I52" s="9" t="s">
        <v>1150</v>
      </c>
      <c r="J52" s="9" t="s">
        <v>1151</v>
      </c>
      <c r="K52" s="1" t="s">
        <v>30</v>
      </c>
      <c r="L52" s="9" t="s">
        <v>1233</v>
      </c>
      <c r="M52" s="9" t="s">
        <v>1144</v>
      </c>
      <c r="N52" s="9" t="s">
        <v>1145</v>
      </c>
    </row>
    <row r="53" spans="1:14" ht="15" customHeight="1">
      <c r="A53" s="1" t="s">
        <v>741</v>
      </c>
      <c r="B53" s="1" t="s">
        <v>40</v>
      </c>
      <c r="C53" s="7">
        <v>0.3</v>
      </c>
      <c r="D53" s="9" t="s">
        <v>1307</v>
      </c>
      <c r="E53" s="9" t="s">
        <v>1373</v>
      </c>
      <c r="F53" s="9" t="s">
        <v>1308</v>
      </c>
      <c r="G53" s="1" t="s">
        <v>324</v>
      </c>
      <c r="H53" s="9" t="s">
        <v>1419</v>
      </c>
      <c r="I53" s="9" t="s">
        <v>1420</v>
      </c>
      <c r="J53" s="9" t="s">
        <v>1421</v>
      </c>
      <c r="K53" s="1" t="s">
        <v>28</v>
      </c>
      <c r="L53" s="9" t="s">
        <v>1149</v>
      </c>
      <c r="M53" s="9" t="s">
        <v>1150</v>
      </c>
      <c r="N53" s="9" t="s">
        <v>1151</v>
      </c>
    </row>
    <row r="54" spans="1:14" ht="15" customHeight="1">
      <c r="A54" s="1" t="s">
        <v>747</v>
      </c>
      <c r="B54" s="1" t="s">
        <v>216</v>
      </c>
      <c r="C54" s="7">
        <v>0.2</v>
      </c>
      <c r="D54" s="9" t="s">
        <v>1422</v>
      </c>
      <c r="E54" s="9" t="s">
        <v>1423</v>
      </c>
      <c r="F54" s="9" t="s">
        <v>1424</v>
      </c>
      <c r="G54" s="1" t="s">
        <v>28</v>
      </c>
      <c r="H54" s="9" t="s">
        <v>1149</v>
      </c>
      <c r="I54" s="9" t="s">
        <v>1150</v>
      </c>
      <c r="J54" s="9" t="s">
        <v>1151</v>
      </c>
      <c r="K54" s="1" t="s">
        <v>32</v>
      </c>
      <c r="L54" s="9" t="s">
        <v>1182</v>
      </c>
      <c r="M54" s="9" t="s">
        <v>1183</v>
      </c>
      <c r="N54" s="9" t="s">
        <v>1184</v>
      </c>
    </row>
    <row r="55" spans="1:14" ht="15" customHeight="1">
      <c r="A55" s="1" t="s">
        <v>753</v>
      </c>
      <c r="B55" s="1" t="s">
        <v>326</v>
      </c>
      <c r="C55" s="7">
        <v>0.25</v>
      </c>
      <c r="D55" s="9" t="s">
        <v>1425</v>
      </c>
      <c r="E55" s="9" t="s">
        <v>1426</v>
      </c>
      <c r="F55" s="9" t="s">
        <v>1427</v>
      </c>
      <c r="G55" s="1" t="s">
        <v>130</v>
      </c>
      <c r="H55" s="9" t="s">
        <v>1428</v>
      </c>
      <c r="I55" s="9" t="s">
        <v>1429</v>
      </c>
      <c r="J55" s="9" t="s">
        <v>1430</v>
      </c>
      <c r="K55" s="1" t="s">
        <v>28</v>
      </c>
      <c r="L55" s="9" t="s">
        <v>1149</v>
      </c>
      <c r="M55" s="9" t="s">
        <v>1150</v>
      </c>
      <c r="N55" s="9" t="s">
        <v>1151</v>
      </c>
    </row>
    <row r="56" spans="1:14" ht="15" customHeight="1">
      <c r="A56" s="1" t="s">
        <v>760</v>
      </c>
      <c r="B56" s="1" t="s">
        <v>204</v>
      </c>
      <c r="C56" s="7">
        <v>0.35</v>
      </c>
      <c r="D56" s="9" t="s">
        <v>1431</v>
      </c>
      <c r="E56" s="9" t="s">
        <v>1432</v>
      </c>
      <c r="F56" s="9" t="s">
        <v>1433</v>
      </c>
      <c r="G56" s="1" t="s">
        <v>184</v>
      </c>
      <c r="H56" s="9" t="s">
        <v>1434</v>
      </c>
      <c r="I56" s="9" t="s">
        <v>1435</v>
      </c>
      <c r="J56" s="9" t="s">
        <v>1436</v>
      </c>
      <c r="K56" s="1" t="s">
        <v>280</v>
      </c>
      <c r="L56" s="9" t="s">
        <v>1437</v>
      </c>
      <c r="M56" s="9" t="s">
        <v>1438</v>
      </c>
      <c r="N56" s="9" t="s">
        <v>1439</v>
      </c>
    </row>
    <row r="57" spans="1:14" ht="15" customHeight="1">
      <c r="A57" s="1" t="s">
        <v>768</v>
      </c>
      <c r="B57" s="1" t="s">
        <v>380</v>
      </c>
      <c r="C57" s="7">
        <v>0.35</v>
      </c>
      <c r="D57" s="9" t="s">
        <v>1440</v>
      </c>
      <c r="E57" s="9" t="s">
        <v>1441</v>
      </c>
      <c r="F57" s="9" t="s">
        <v>1442</v>
      </c>
      <c r="G57" s="1" t="s">
        <v>116</v>
      </c>
      <c r="H57" s="9" t="s">
        <v>1443</v>
      </c>
      <c r="I57" s="9" t="s">
        <v>1444</v>
      </c>
      <c r="J57" s="9" t="s">
        <v>1445</v>
      </c>
      <c r="K57" s="1" t="s">
        <v>246</v>
      </c>
      <c r="L57" s="9" t="s">
        <v>1446</v>
      </c>
      <c r="M57" s="9" t="s">
        <v>1447</v>
      </c>
      <c r="N57" s="9" t="s">
        <v>1448</v>
      </c>
    </row>
    <row r="58" spans="1:14" ht="24" customHeight="1">
      <c r="A58" s="1" t="s">
        <v>776</v>
      </c>
      <c r="B58" s="1" t="s">
        <v>82</v>
      </c>
      <c r="C58" s="7">
        <v>0.1</v>
      </c>
      <c r="D58" s="9" t="s">
        <v>1449</v>
      </c>
      <c r="E58" s="9" t="s">
        <v>1450</v>
      </c>
      <c r="F58" s="9" t="s">
        <v>1451</v>
      </c>
      <c r="G58" s="1" t="s">
        <v>300</v>
      </c>
      <c r="H58" s="9" t="s">
        <v>1452</v>
      </c>
      <c r="I58" s="9" t="s">
        <v>1453</v>
      </c>
      <c r="J58" s="9" t="s">
        <v>1454</v>
      </c>
      <c r="K58" s="1" t="s">
        <v>176</v>
      </c>
      <c r="L58" s="9" t="s">
        <v>1455</v>
      </c>
      <c r="M58" s="9" t="s">
        <v>1456</v>
      </c>
      <c r="N58" s="9" t="s">
        <v>1457</v>
      </c>
    </row>
    <row r="59" spans="1:14" ht="15" customHeight="1">
      <c r="A59" s="1" t="s">
        <v>784</v>
      </c>
      <c r="B59" s="1" t="s">
        <v>368</v>
      </c>
      <c r="C59" s="7">
        <v>0.2</v>
      </c>
      <c r="D59" s="9" t="s">
        <v>1458</v>
      </c>
      <c r="E59" s="9" t="s">
        <v>1459</v>
      </c>
      <c r="F59" s="9" t="s">
        <v>1460</v>
      </c>
      <c r="G59" s="1" t="s">
        <v>787</v>
      </c>
      <c r="H59" s="9" t="s">
        <v>1149</v>
      </c>
      <c r="I59" s="9" t="s">
        <v>1150</v>
      </c>
      <c r="J59" s="9" t="s">
        <v>1151</v>
      </c>
      <c r="K59" s="1" t="s">
        <v>32</v>
      </c>
      <c r="L59" s="9" t="s">
        <v>1182</v>
      </c>
      <c r="M59" s="9" t="s">
        <v>1183</v>
      </c>
      <c r="N59" s="9" t="s">
        <v>1184</v>
      </c>
    </row>
    <row r="60" spans="1:14" ht="24" customHeight="1">
      <c r="A60" s="1" t="s">
        <v>791</v>
      </c>
      <c r="B60" s="1" t="s">
        <v>128</v>
      </c>
      <c r="C60" s="7">
        <v>0.15</v>
      </c>
      <c r="D60" s="9" t="s">
        <v>1461</v>
      </c>
      <c r="E60" s="9" t="s">
        <v>1462</v>
      </c>
      <c r="F60" s="9" t="s">
        <v>1463</v>
      </c>
      <c r="G60" s="1" t="s">
        <v>146</v>
      </c>
      <c r="H60" s="9" t="s">
        <v>1464</v>
      </c>
      <c r="I60" s="9" t="s">
        <v>1465</v>
      </c>
      <c r="J60" s="9" t="s">
        <v>1466</v>
      </c>
      <c r="K60" s="1" t="s">
        <v>154</v>
      </c>
      <c r="L60" s="9" t="s">
        <v>1467</v>
      </c>
      <c r="M60" s="9" t="s">
        <v>1468</v>
      </c>
      <c r="N60" s="9" t="s">
        <v>1469</v>
      </c>
    </row>
    <row r="61" spans="1:14" ht="15" customHeight="1">
      <c r="A61" s="1" t="s">
        <v>799</v>
      </c>
      <c r="B61" s="1" t="s">
        <v>30</v>
      </c>
      <c r="C61" s="7">
        <v>0.25</v>
      </c>
      <c r="D61" s="9" t="s">
        <v>1143</v>
      </c>
      <c r="E61" s="9" t="s">
        <v>1144</v>
      </c>
      <c r="F61" s="9" t="s">
        <v>1145</v>
      </c>
      <c r="G61" s="1" t="s">
        <v>56</v>
      </c>
      <c r="H61" s="9" t="s">
        <v>1224</v>
      </c>
      <c r="I61" s="9" t="s">
        <v>1470</v>
      </c>
      <c r="J61" s="9" t="s">
        <v>1471</v>
      </c>
      <c r="K61" s="1" t="s">
        <v>28</v>
      </c>
      <c r="L61" s="9" t="s">
        <v>1149</v>
      </c>
      <c r="M61" s="9" t="s">
        <v>1150</v>
      </c>
      <c r="N61" s="9" t="s">
        <v>1151</v>
      </c>
    </row>
    <row r="62" spans="1:14" ht="15" customHeight="1">
      <c r="A62" s="1" t="s">
        <v>804</v>
      </c>
      <c r="B62" s="1" t="s">
        <v>258</v>
      </c>
      <c r="C62" s="7">
        <v>0.2</v>
      </c>
      <c r="D62" s="9" t="s">
        <v>1472</v>
      </c>
      <c r="E62" s="9" t="s">
        <v>1473</v>
      </c>
      <c r="F62" s="9" t="s">
        <v>1474</v>
      </c>
      <c r="G62" s="1" t="s">
        <v>136</v>
      </c>
      <c r="H62" s="9" t="s">
        <v>1475</v>
      </c>
      <c r="I62" s="9" t="s">
        <v>1476</v>
      </c>
      <c r="J62" s="9" t="s">
        <v>1477</v>
      </c>
      <c r="K62" s="1" t="s">
        <v>144</v>
      </c>
      <c r="L62" s="9" t="s">
        <v>1478</v>
      </c>
      <c r="M62" s="9" t="s">
        <v>1479</v>
      </c>
      <c r="N62" s="9" t="s">
        <v>1480</v>
      </c>
    </row>
    <row r="63" spans="1:14" ht="24" customHeight="1">
      <c r="A63" s="1" t="s">
        <v>812</v>
      </c>
      <c r="B63" s="1" t="s">
        <v>214</v>
      </c>
      <c r="C63" s="7">
        <v>0.2</v>
      </c>
      <c r="D63" s="9" t="s">
        <v>1481</v>
      </c>
      <c r="E63" s="9" t="s">
        <v>1482</v>
      </c>
      <c r="F63" s="9" t="s">
        <v>1483</v>
      </c>
      <c r="G63" s="1" t="s">
        <v>76</v>
      </c>
      <c r="H63" s="9" t="s">
        <v>1311</v>
      </c>
      <c r="I63" s="9" t="s">
        <v>1312</v>
      </c>
      <c r="J63" s="9" t="s">
        <v>1484</v>
      </c>
      <c r="K63" s="1" t="s">
        <v>100</v>
      </c>
      <c r="L63" s="9" t="s">
        <v>1485</v>
      </c>
      <c r="M63" s="9" t="s">
        <v>1486</v>
      </c>
      <c r="N63" s="9" t="s">
        <v>1487</v>
      </c>
    </row>
    <row r="64" spans="1:14" ht="15" customHeight="1">
      <c r="A64" s="1" t="s">
        <v>819</v>
      </c>
      <c r="B64" s="1" t="s">
        <v>288</v>
      </c>
      <c r="C64" s="7">
        <v>0.3</v>
      </c>
      <c r="D64" s="9" t="s">
        <v>1488</v>
      </c>
      <c r="E64" s="9" t="s">
        <v>1489</v>
      </c>
      <c r="F64" s="9" t="s">
        <v>1490</v>
      </c>
      <c r="G64" s="1" t="s">
        <v>180</v>
      </c>
      <c r="H64" s="9" t="s">
        <v>1491</v>
      </c>
      <c r="I64" s="9" t="s">
        <v>1492</v>
      </c>
      <c r="J64" s="9" t="s">
        <v>1493</v>
      </c>
      <c r="K64" s="1" t="s">
        <v>228</v>
      </c>
      <c r="L64" s="9" t="s">
        <v>1494</v>
      </c>
      <c r="M64" s="9" t="s">
        <v>1495</v>
      </c>
      <c r="N64" s="9" t="s">
        <v>1496</v>
      </c>
    </row>
    <row r="65" spans="1:14" ht="15" customHeight="1">
      <c r="A65" s="1" t="s">
        <v>827</v>
      </c>
      <c r="B65" s="1" t="s">
        <v>298</v>
      </c>
      <c r="C65" s="7">
        <v>0.25</v>
      </c>
      <c r="D65" s="9" t="s">
        <v>1497</v>
      </c>
      <c r="E65" s="9" t="s">
        <v>1498</v>
      </c>
      <c r="F65" s="9" t="s">
        <v>1499</v>
      </c>
      <c r="G65" s="1" t="s">
        <v>230</v>
      </c>
      <c r="H65" s="9" t="s">
        <v>1500</v>
      </c>
      <c r="I65" s="9" t="s">
        <v>1501</v>
      </c>
      <c r="J65" s="9" t="s">
        <v>1502</v>
      </c>
      <c r="K65" s="1" t="s">
        <v>266</v>
      </c>
      <c r="L65" s="9" t="s">
        <v>1503</v>
      </c>
      <c r="M65" s="9" t="s">
        <v>1504</v>
      </c>
      <c r="N65" s="9" t="s">
        <v>1505</v>
      </c>
    </row>
    <row r="66" spans="1:14" ht="15" customHeight="1">
      <c r="A66" s="1" t="s">
        <v>835</v>
      </c>
      <c r="B66" s="1" t="s">
        <v>370</v>
      </c>
      <c r="C66" s="7">
        <v>0.15</v>
      </c>
      <c r="D66" s="9" t="s">
        <v>1506</v>
      </c>
      <c r="E66" s="9" t="s">
        <v>1507</v>
      </c>
      <c r="F66" s="9" t="s">
        <v>1508</v>
      </c>
      <c r="G66" s="1" t="s">
        <v>148</v>
      </c>
      <c r="H66" s="9" t="s">
        <v>1509</v>
      </c>
      <c r="I66" s="9" t="s">
        <v>1510</v>
      </c>
      <c r="J66" s="9" t="s">
        <v>1511</v>
      </c>
      <c r="K66" s="1" t="s">
        <v>152</v>
      </c>
      <c r="L66" s="9" t="s">
        <v>1512</v>
      </c>
      <c r="M66" s="9" t="s">
        <v>1513</v>
      </c>
      <c r="N66" s="9" t="s">
        <v>1514</v>
      </c>
    </row>
    <row r="67" spans="1:14" ht="24" customHeight="1">
      <c r="A67" s="1" t="s">
        <v>843</v>
      </c>
      <c r="B67" s="1" t="s">
        <v>200</v>
      </c>
      <c r="C67" s="7">
        <v>0.2</v>
      </c>
      <c r="D67" s="9" t="s">
        <v>1515</v>
      </c>
      <c r="E67" s="9" t="s">
        <v>1516</v>
      </c>
      <c r="F67" s="9" t="s">
        <v>1517</v>
      </c>
      <c r="G67" s="1" t="s">
        <v>28</v>
      </c>
      <c r="H67" s="9" t="s">
        <v>1149</v>
      </c>
      <c r="I67" s="9" t="s">
        <v>1150</v>
      </c>
      <c r="J67" s="9" t="s">
        <v>1151</v>
      </c>
      <c r="K67" s="1" t="s">
        <v>30</v>
      </c>
      <c r="L67" s="9" t="s">
        <v>1233</v>
      </c>
      <c r="M67" s="9" t="s">
        <v>1144</v>
      </c>
      <c r="N67" s="9" t="s">
        <v>1145</v>
      </c>
    </row>
    <row r="68" spans="1:14" ht="24" customHeight="1">
      <c r="A68" s="1" t="s">
        <v>849</v>
      </c>
      <c r="B68" s="1" t="s">
        <v>344</v>
      </c>
      <c r="C68" s="7">
        <v>0.1</v>
      </c>
      <c r="D68" s="9" t="s">
        <v>1518</v>
      </c>
      <c r="E68" s="9" t="s">
        <v>1519</v>
      </c>
      <c r="F68" s="9" t="s">
        <v>1520</v>
      </c>
      <c r="G68" s="1" t="s">
        <v>174</v>
      </c>
      <c r="H68" s="9" t="s">
        <v>1521</v>
      </c>
      <c r="I68" s="9" t="s">
        <v>1522</v>
      </c>
      <c r="J68" s="9" t="s">
        <v>1523</v>
      </c>
      <c r="K68" s="1" t="s">
        <v>224</v>
      </c>
      <c r="L68" s="9" t="s">
        <v>1524</v>
      </c>
      <c r="M68" s="9" t="s">
        <v>1525</v>
      </c>
      <c r="N68" s="9" t="s">
        <v>1526</v>
      </c>
    </row>
    <row r="69" spans="1:14" ht="15" customHeight="1">
      <c r="A69" s="1" t="s">
        <v>857</v>
      </c>
      <c r="B69" s="1" t="s">
        <v>354</v>
      </c>
      <c r="C69" s="7">
        <v>0.1</v>
      </c>
      <c r="D69" s="9" t="s">
        <v>1527</v>
      </c>
      <c r="E69" s="9" t="s">
        <v>1528</v>
      </c>
      <c r="F69" s="9" t="s">
        <v>1529</v>
      </c>
      <c r="G69" s="1" t="s">
        <v>28</v>
      </c>
      <c r="H69" s="9" t="s">
        <v>1149</v>
      </c>
      <c r="I69" s="9" t="s">
        <v>1150</v>
      </c>
      <c r="J69" s="9" t="s">
        <v>1151</v>
      </c>
      <c r="K69" s="1" t="s">
        <v>30</v>
      </c>
      <c r="L69" s="9" t="s">
        <v>1233</v>
      </c>
      <c r="M69" s="9" t="s">
        <v>1144</v>
      </c>
      <c r="N69" s="9" t="s">
        <v>1145</v>
      </c>
    </row>
    <row r="70" spans="1:14" ht="24" customHeight="1">
      <c r="A70" s="1" t="s">
        <v>863</v>
      </c>
      <c r="B70" s="1" t="s">
        <v>42</v>
      </c>
      <c r="C70" s="7">
        <v>0.1</v>
      </c>
      <c r="D70" s="9" t="s">
        <v>1530</v>
      </c>
      <c r="E70" s="9" t="s">
        <v>1531</v>
      </c>
      <c r="F70" s="9" t="s">
        <v>1532</v>
      </c>
      <c r="G70" s="1" t="s">
        <v>134</v>
      </c>
      <c r="H70" s="9" t="s">
        <v>1533</v>
      </c>
      <c r="I70" s="9" t="s">
        <v>1534</v>
      </c>
      <c r="J70" s="9" t="s">
        <v>1535</v>
      </c>
      <c r="K70" s="1" t="s">
        <v>28</v>
      </c>
      <c r="L70" s="9" t="s">
        <v>1149</v>
      </c>
      <c r="M70" s="9" t="s">
        <v>1150</v>
      </c>
      <c r="N70" s="9" t="s">
        <v>1151</v>
      </c>
    </row>
    <row r="71" spans="1:14" ht="24" customHeight="1">
      <c r="A71" s="1" t="s">
        <v>870</v>
      </c>
      <c r="B71" s="1" t="s">
        <v>58</v>
      </c>
      <c r="C71" s="7">
        <v>0.15</v>
      </c>
      <c r="D71" s="9" t="s">
        <v>1536</v>
      </c>
      <c r="E71" s="9" t="s">
        <v>1537</v>
      </c>
      <c r="F71" s="9" t="s">
        <v>1538</v>
      </c>
      <c r="G71" s="1" t="s">
        <v>284</v>
      </c>
      <c r="H71" s="9" t="s">
        <v>1539</v>
      </c>
      <c r="I71" s="9" t="s">
        <v>1540</v>
      </c>
      <c r="J71" s="9" t="s">
        <v>1541</v>
      </c>
      <c r="K71" s="1" t="s">
        <v>352</v>
      </c>
      <c r="L71" s="9" t="s">
        <v>1542</v>
      </c>
      <c r="M71" s="9" t="s">
        <v>1543</v>
      </c>
      <c r="N71" s="9" t="s">
        <v>1544</v>
      </c>
    </row>
    <row r="72" spans="1:14" ht="15" customHeight="1">
      <c r="A72" s="1" t="s">
        <v>878</v>
      </c>
      <c r="B72" s="1" t="s">
        <v>402</v>
      </c>
      <c r="C72" s="7">
        <v>0.2</v>
      </c>
      <c r="D72" s="9" t="s">
        <v>1545</v>
      </c>
      <c r="E72" s="9" t="s">
        <v>1546</v>
      </c>
      <c r="F72" s="9" t="s">
        <v>1547</v>
      </c>
      <c r="G72" s="1" t="s">
        <v>28</v>
      </c>
      <c r="H72" s="9" t="s">
        <v>1149</v>
      </c>
      <c r="I72" s="9" t="s">
        <v>1150</v>
      </c>
      <c r="J72" s="9" t="s">
        <v>1151</v>
      </c>
      <c r="K72" s="1" t="s">
        <v>170</v>
      </c>
      <c r="L72" s="9" t="s">
        <v>1548</v>
      </c>
      <c r="M72" s="9" t="s">
        <v>1549</v>
      </c>
      <c r="N72" s="9" t="s">
        <v>1550</v>
      </c>
    </row>
    <row r="73" spans="1:14" ht="24" customHeight="1">
      <c r="A73" s="1" t="s">
        <v>885</v>
      </c>
      <c r="B73" s="1" t="s">
        <v>208</v>
      </c>
      <c r="C73" s="7">
        <v>0.15</v>
      </c>
      <c r="D73" s="9" t="s">
        <v>1551</v>
      </c>
      <c r="E73" s="9" t="s">
        <v>1552</v>
      </c>
      <c r="F73" s="9" t="s">
        <v>1553</v>
      </c>
      <c r="G73" s="1" t="s">
        <v>262</v>
      </c>
      <c r="H73" s="9" t="s">
        <v>1554</v>
      </c>
      <c r="I73" s="9" t="s">
        <v>1555</v>
      </c>
      <c r="J73" s="9" t="s">
        <v>1556</v>
      </c>
      <c r="K73" s="1" t="s">
        <v>28</v>
      </c>
      <c r="L73" s="9" t="s">
        <v>1149</v>
      </c>
      <c r="M73" s="9" t="s">
        <v>1150</v>
      </c>
      <c r="N73" s="9" t="s">
        <v>1151</v>
      </c>
    </row>
    <row r="74" spans="1:14" ht="15" customHeight="1">
      <c r="A74" s="1" t="s">
        <v>892</v>
      </c>
      <c r="B74" s="1" t="s">
        <v>86</v>
      </c>
      <c r="C74" s="7">
        <v>0.4</v>
      </c>
      <c r="D74" s="9" t="s">
        <v>1557</v>
      </c>
      <c r="E74" s="9" t="s">
        <v>1558</v>
      </c>
      <c r="F74" s="9" t="s">
        <v>1520</v>
      </c>
      <c r="G74" s="1" t="s">
        <v>28</v>
      </c>
      <c r="H74" s="9" t="s">
        <v>1149</v>
      </c>
      <c r="I74" s="9" t="s">
        <v>1150</v>
      </c>
      <c r="J74" s="9" t="s">
        <v>1151</v>
      </c>
      <c r="K74" s="1" t="s">
        <v>358</v>
      </c>
      <c r="L74" s="9" t="s">
        <v>1559</v>
      </c>
      <c r="M74" s="9" t="s">
        <v>1560</v>
      </c>
      <c r="N74" s="9" t="s">
        <v>1561</v>
      </c>
    </row>
    <row r="75" spans="1:14" ht="15" customHeight="1">
      <c r="A75" s="1" t="s">
        <v>899</v>
      </c>
      <c r="B75" s="1" t="s">
        <v>68</v>
      </c>
      <c r="C75" s="7">
        <v>0.45</v>
      </c>
      <c r="D75" s="9" t="s">
        <v>1562</v>
      </c>
      <c r="E75" s="9" t="s">
        <v>1563</v>
      </c>
      <c r="F75" s="9" t="s">
        <v>1564</v>
      </c>
      <c r="G75" s="1" t="s">
        <v>210</v>
      </c>
      <c r="H75" s="9" t="s">
        <v>1565</v>
      </c>
      <c r="I75" s="9" t="s">
        <v>1566</v>
      </c>
      <c r="J75" s="9" t="s">
        <v>1567</v>
      </c>
      <c r="K75" s="1" t="s">
        <v>334</v>
      </c>
      <c r="L75" s="9" t="s">
        <v>1568</v>
      </c>
      <c r="M75" s="9" t="s">
        <v>1569</v>
      </c>
      <c r="N75" s="9" t="s">
        <v>1570</v>
      </c>
    </row>
    <row r="76" spans="1:14" ht="24" customHeight="1">
      <c r="A76" s="1" t="s">
        <v>907</v>
      </c>
      <c r="B76" s="1" t="s">
        <v>384</v>
      </c>
      <c r="C76" s="7">
        <v>0.1</v>
      </c>
      <c r="D76" s="9" t="s">
        <v>1571</v>
      </c>
      <c r="E76" s="9" t="s">
        <v>1572</v>
      </c>
      <c r="F76" s="9" t="s">
        <v>1573</v>
      </c>
      <c r="G76" s="1" t="s">
        <v>172</v>
      </c>
      <c r="H76" s="9" t="s">
        <v>1574</v>
      </c>
      <c r="I76" s="9" t="s">
        <v>1549</v>
      </c>
      <c r="J76" s="9" t="s">
        <v>1550</v>
      </c>
      <c r="K76" s="1" t="s">
        <v>44</v>
      </c>
      <c r="L76" s="9" t="s">
        <v>1326</v>
      </c>
      <c r="M76" s="9" t="s">
        <v>1327</v>
      </c>
      <c r="N76" s="9" t="s">
        <v>1575</v>
      </c>
    </row>
    <row r="77" spans="1:14" ht="15" customHeight="1">
      <c r="A77" s="1" t="s">
        <v>914</v>
      </c>
      <c r="B77" s="1" t="s">
        <v>44</v>
      </c>
      <c r="C77" s="7">
        <v>0.2</v>
      </c>
      <c r="D77" s="9" t="s">
        <v>1326</v>
      </c>
      <c r="E77" s="9" t="s">
        <v>1327</v>
      </c>
      <c r="F77" s="9" t="s">
        <v>1576</v>
      </c>
      <c r="G77" s="1" t="s">
        <v>110</v>
      </c>
      <c r="H77" s="9" t="s">
        <v>1577</v>
      </c>
      <c r="I77" s="9" t="s">
        <v>1578</v>
      </c>
      <c r="J77" s="9" t="s">
        <v>1579</v>
      </c>
      <c r="K77" s="1" t="s">
        <v>220</v>
      </c>
      <c r="L77" s="9" t="s">
        <v>1580</v>
      </c>
      <c r="M77" s="9" t="s">
        <v>1581</v>
      </c>
      <c r="N77" s="9" t="s">
        <v>1582</v>
      </c>
    </row>
    <row r="78" spans="1:14" ht="15" customHeight="1">
      <c r="A78" s="1" t="s">
        <v>921</v>
      </c>
      <c r="B78" s="1" t="s">
        <v>254</v>
      </c>
      <c r="C78" s="7">
        <v>0.1</v>
      </c>
      <c r="D78" s="9" t="s">
        <v>1583</v>
      </c>
      <c r="E78" s="9" t="s">
        <v>1584</v>
      </c>
      <c r="F78" s="9" t="s">
        <v>1585</v>
      </c>
      <c r="G78" s="1" t="s">
        <v>272</v>
      </c>
      <c r="H78" s="9" t="s">
        <v>1586</v>
      </c>
      <c r="I78" s="9" t="s">
        <v>1587</v>
      </c>
      <c r="J78" s="9" t="s">
        <v>1588</v>
      </c>
      <c r="K78" s="1" t="s">
        <v>126</v>
      </c>
      <c r="L78" s="9" t="s">
        <v>1589</v>
      </c>
      <c r="M78" s="9" t="s">
        <v>1590</v>
      </c>
      <c r="N78" s="9" t="s">
        <v>1591</v>
      </c>
    </row>
    <row r="79" spans="1:14" ht="24" customHeight="1">
      <c r="A79" s="1" t="s">
        <v>929</v>
      </c>
      <c r="B79" s="1" t="s">
        <v>232</v>
      </c>
      <c r="C79" s="7">
        <v>0.15</v>
      </c>
      <c r="D79" s="9" t="s">
        <v>1592</v>
      </c>
      <c r="E79" s="9" t="s">
        <v>1593</v>
      </c>
      <c r="F79" s="9" t="s">
        <v>1594</v>
      </c>
      <c r="G79" s="1" t="s">
        <v>118</v>
      </c>
      <c r="H79" s="9" t="s">
        <v>1595</v>
      </c>
      <c r="I79" s="9" t="s">
        <v>1596</v>
      </c>
      <c r="J79" s="9" t="s">
        <v>1597</v>
      </c>
      <c r="K79" s="1" t="s">
        <v>28</v>
      </c>
      <c r="L79" s="9" t="s">
        <v>1149</v>
      </c>
      <c r="M79" s="9" t="s">
        <v>1150</v>
      </c>
      <c r="N79" s="9" t="s">
        <v>1151</v>
      </c>
    </row>
    <row r="80" spans="1:14" ht="15" customHeight="1">
      <c r="A80" s="1" t="s">
        <v>936</v>
      </c>
      <c r="B80" s="1" t="s">
        <v>396</v>
      </c>
      <c r="C80" s="7">
        <v>0.15</v>
      </c>
      <c r="D80" s="9" t="s">
        <v>1598</v>
      </c>
      <c r="E80" s="9" t="s">
        <v>1599</v>
      </c>
      <c r="F80" s="9" t="s">
        <v>1600</v>
      </c>
      <c r="G80" s="1" t="s">
        <v>108</v>
      </c>
      <c r="H80" s="9" t="s">
        <v>1601</v>
      </c>
      <c r="I80" s="9" t="s">
        <v>1602</v>
      </c>
      <c r="J80" s="9" t="s">
        <v>1603</v>
      </c>
      <c r="K80" s="1" t="s">
        <v>28</v>
      </c>
      <c r="L80" s="9" t="s">
        <v>1149</v>
      </c>
      <c r="M80" s="9" t="s">
        <v>1150</v>
      </c>
      <c r="N80" s="9" t="s">
        <v>1151</v>
      </c>
    </row>
    <row r="81" spans="1:14" ht="15" customHeight="1">
      <c r="A81" s="1" t="s">
        <v>943</v>
      </c>
      <c r="B81" s="1" t="s">
        <v>74</v>
      </c>
      <c r="C81" s="7">
        <v>0.1</v>
      </c>
      <c r="D81" s="9" t="s">
        <v>1278</v>
      </c>
      <c r="E81" s="9" t="s">
        <v>1279</v>
      </c>
      <c r="F81" s="9" t="s">
        <v>1604</v>
      </c>
      <c r="G81" s="1" t="s">
        <v>28</v>
      </c>
      <c r="H81" s="9" t="s">
        <v>1149</v>
      </c>
      <c r="I81" s="9" t="s">
        <v>1150</v>
      </c>
      <c r="J81" s="9" t="s">
        <v>1151</v>
      </c>
      <c r="K81" s="1" t="s">
        <v>946</v>
      </c>
      <c r="L81" s="9" t="s">
        <v>1259</v>
      </c>
      <c r="M81" s="9" t="s">
        <v>1605</v>
      </c>
      <c r="N81" s="9" t="s">
        <v>1606</v>
      </c>
    </row>
    <row r="82" spans="1:14" ht="15" customHeight="1">
      <c r="A82" s="1" t="s">
        <v>949</v>
      </c>
      <c r="B82" s="1" t="s">
        <v>90</v>
      </c>
      <c r="C82" s="7">
        <v>0.15</v>
      </c>
      <c r="D82" s="9" t="s">
        <v>1607</v>
      </c>
      <c r="E82" s="9" t="s">
        <v>1608</v>
      </c>
      <c r="F82" s="9" t="s">
        <v>1609</v>
      </c>
      <c r="G82" s="1" t="s">
        <v>28</v>
      </c>
      <c r="H82" s="9" t="s">
        <v>1149</v>
      </c>
      <c r="I82" s="9" t="s">
        <v>1150</v>
      </c>
      <c r="J82" s="9" t="s">
        <v>1151</v>
      </c>
      <c r="K82" s="1" t="s">
        <v>360</v>
      </c>
      <c r="L82" s="9" t="s">
        <v>1610</v>
      </c>
      <c r="M82" s="9" t="s">
        <v>1611</v>
      </c>
      <c r="N82" s="9" t="s">
        <v>1612</v>
      </c>
    </row>
    <row r="83" spans="1:14" ht="24" customHeight="1">
      <c r="A83" s="1" t="s">
        <v>956</v>
      </c>
      <c r="B83" s="1" t="s">
        <v>382</v>
      </c>
      <c r="C83" s="7">
        <v>0.2</v>
      </c>
      <c r="D83" s="9" t="s">
        <v>1613</v>
      </c>
      <c r="E83" s="9" t="s">
        <v>1614</v>
      </c>
      <c r="F83" s="9" t="s">
        <v>1615</v>
      </c>
      <c r="G83" s="1" t="s">
        <v>28</v>
      </c>
      <c r="H83" s="9" t="s">
        <v>1149</v>
      </c>
      <c r="I83" s="9" t="s">
        <v>1150</v>
      </c>
      <c r="J83" s="9" t="s">
        <v>1151</v>
      </c>
      <c r="K83" s="1" t="s">
        <v>124</v>
      </c>
      <c r="L83" s="9" t="s">
        <v>1616</v>
      </c>
      <c r="M83" s="9" t="s">
        <v>1617</v>
      </c>
      <c r="N83" s="9" t="s">
        <v>1618</v>
      </c>
    </row>
    <row r="84" spans="1:14" ht="24" customHeight="1">
      <c r="A84" s="1" t="s">
        <v>963</v>
      </c>
      <c r="B84" s="1" t="s">
        <v>42</v>
      </c>
      <c r="C84" s="7">
        <v>0.3</v>
      </c>
      <c r="D84" s="9" t="s">
        <v>1530</v>
      </c>
      <c r="E84" s="9" t="s">
        <v>1531</v>
      </c>
      <c r="F84" s="9" t="s">
        <v>1532</v>
      </c>
      <c r="G84" s="1" t="s">
        <v>38</v>
      </c>
      <c r="H84" s="9" t="s">
        <v>1619</v>
      </c>
      <c r="I84" s="9" t="s">
        <v>1620</v>
      </c>
      <c r="J84" s="9" t="s">
        <v>1621</v>
      </c>
      <c r="K84" s="1" t="s">
        <v>70</v>
      </c>
      <c r="L84" s="9" t="s">
        <v>1334</v>
      </c>
      <c r="M84" s="9" t="s">
        <v>1622</v>
      </c>
      <c r="N84" s="9" t="s">
        <v>1623</v>
      </c>
    </row>
    <row r="85" spans="1:14" ht="15" customHeight="1">
      <c r="A85" s="1" t="s">
        <v>969</v>
      </c>
      <c r="B85" s="1" t="s">
        <v>162</v>
      </c>
      <c r="C85" s="7">
        <v>0.15</v>
      </c>
      <c r="D85" s="9" t="s">
        <v>1624</v>
      </c>
      <c r="E85" s="9" t="s">
        <v>1625</v>
      </c>
      <c r="F85" s="9" t="s">
        <v>1626</v>
      </c>
      <c r="G85" s="1" t="s">
        <v>318</v>
      </c>
      <c r="H85" s="9" t="s">
        <v>1627</v>
      </c>
      <c r="I85" s="9" t="s">
        <v>1628</v>
      </c>
      <c r="J85" s="9" t="s">
        <v>1629</v>
      </c>
      <c r="K85" s="1" t="s">
        <v>28</v>
      </c>
      <c r="L85" s="9" t="s">
        <v>1149</v>
      </c>
      <c r="M85" s="9" t="s">
        <v>1150</v>
      </c>
      <c r="N85" s="9" t="s">
        <v>1151</v>
      </c>
    </row>
    <row r="86" spans="1:14" ht="15" customHeight="1">
      <c r="A86" s="1" t="s">
        <v>976</v>
      </c>
      <c r="B86" s="1" t="s">
        <v>408</v>
      </c>
      <c r="C86" s="7">
        <v>0.1</v>
      </c>
      <c r="D86" s="9" t="s">
        <v>977</v>
      </c>
      <c r="E86" s="9" t="s">
        <v>1630</v>
      </c>
      <c r="F86" s="9" t="s">
        <v>1631</v>
      </c>
      <c r="G86" s="1" t="s">
        <v>182</v>
      </c>
      <c r="H86" s="9" t="s">
        <v>1632</v>
      </c>
      <c r="I86" s="9" t="s">
        <v>1633</v>
      </c>
      <c r="J86" s="9" t="s">
        <v>1634</v>
      </c>
      <c r="K86" s="1" t="s">
        <v>400</v>
      </c>
      <c r="L86" s="9" t="s">
        <v>1635</v>
      </c>
      <c r="M86" s="9" t="s">
        <v>1636</v>
      </c>
      <c r="N86" s="9" t="s">
        <v>1637</v>
      </c>
    </row>
    <row r="87" spans="1:14" ht="15" customHeight="1">
      <c r="A87" s="1" t="s">
        <v>984</v>
      </c>
      <c r="B87" s="1" t="s">
        <v>286</v>
      </c>
      <c r="C87" s="7">
        <v>0.2</v>
      </c>
      <c r="D87" s="9" t="s">
        <v>1638</v>
      </c>
      <c r="E87" s="9" t="s">
        <v>1639</v>
      </c>
      <c r="F87" s="9" t="s">
        <v>1640</v>
      </c>
      <c r="G87" s="1" t="s">
        <v>32</v>
      </c>
      <c r="H87" s="9" t="s">
        <v>1182</v>
      </c>
      <c r="I87" s="9" t="s">
        <v>1183</v>
      </c>
      <c r="J87" s="9" t="s">
        <v>1184</v>
      </c>
      <c r="K87" s="1" t="s">
        <v>342</v>
      </c>
      <c r="L87" s="9" t="s">
        <v>1641</v>
      </c>
      <c r="M87" s="9" t="s">
        <v>1642</v>
      </c>
      <c r="N87" s="9" t="s">
        <v>1643</v>
      </c>
    </row>
    <row r="88" spans="1:14" ht="15" customHeight="1">
      <c r="A88" s="1" t="s">
        <v>991</v>
      </c>
      <c r="B88" s="1" t="s">
        <v>398</v>
      </c>
      <c r="C88" s="7">
        <v>0.25</v>
      </c>
      <c r="D88" s="9" t="s">
        <v>1644</v>
      </c>
      <c r="E88" s="9" t="s">
        <v>1645</v>
      </c>
      <c r="F88" s="9" t="s">
        <v>1646</v>
      </c>
      <c r="G88" s="1" t="s">
        <v>28</v>
      </c>
      <c r="H88" s="9" t="s">
        <v>1149</v>
      </c>
      <c r="I88" s="9" t="s">
        <v>1150</v>
      </c>
      <c r="J88" s="9" t="s">
        <v>1151</v>
      </c>
      <c r="K88" s="1" t="s">
        <v>88</v>
      </c>
      <c r="L88" s="9" t="s">
        <v>1647</v>
      </c>
      <c r="M88" s="9" t="s">
        <v>1648</v>
      </c>
      <c r="N88" s="9" t="s">
        <v>1649</v>
      </c>
    </row>
    <row r="89" spans="1:14" ht="15" customHeight="1">
      <c r="A89" s="1" t="s">
        <v>998</v>
      </c>
      <c r="B89" s="1" t="s">
        <v>164</v>
      </c>
      <c r="C89" s="7">
        <v>0.15</v>
      </c>
      <c r="D89" s="9" t="s">
        <v>1650</v>
      </c>
      <c r="E89" s="9" t="s">
        <v>1651</v>
      </c>
      <c r="F89" s="9" t="s">
        <v>1652</v>
      </c>
      <c r="G89" s="1" t="s">
        <v>28</v>
      </c>
      <c r="H89" s="9" t="s">
        <v>1149</v>
      </c>
      <c r="I89" s="9" t="s">
        <v>1150</v>
      </c>
      <c r="J89" s="9" t="s">
        <v>1151</v>
      </c>
      <c r="K89" s="1" t="s">
        <v>34</v>
      </c>
      <c r="L89" s="9" t="s">
        <v>1146</v>
      </c>
      <c r="M89" s="9" t="s">
        <v>1147</v>
      </c>
      <c r="N89" s="9" t="s">
        <v>1148</v>
      </c>
    </row>
    <row r="90" spans="1:14" ht="24" customHeight="1">
      <c r="A90" s="1" t="s">
        <v>1004</v>
      </c>
      <c r="B90" s="1" t="s">
        <v>68</v>
      </c>
      <c r="C90" s="7">
        <v>0.3</v>
      </c>
      <c r="D90" s="9" t="s">
        <v>1562</v>
      </c>
      <c r="E90" s="9" t="s">
        <v>1563</v>
      </c>
      <c r="F90" s="9" t="s">
        <v>1564</v>
      </c>
      <c r="G90" s="1" t="s">
        <v>308</v>
      </c>
      <c r="H90" s="9" t="s">
        <v>1653</v>
      </c>
      <c r="I90" s="9" t="s">
        <v>1654</v>
      </c>
      <c r="J90" s="9" t="s">
        <v>1655</v>
      </c>
      <c r="K90" s="1" t="s">
        <v>68</v>
      </c>
      <c r="L90" s="9" t="s">
        <v>1656</v>
      </c>
      <c r="M90" s="9" t="s">
        <v>1657</v>
      </c>
      <c r="N90" s="9" t="s">
        <v>1658</v>
      </c>
    </row>
    <row r="91" spans="1:14" ht="15" customHeight="1">
      <c r="A91" s="1" t="s">
        <v>1011</v>
      </c>
      <c r="B91" s="1" t="s">
        <v>102</v>
      </c>
      <c r="C91" s="7">
        <v>0.1</v>
      </c>
      <c r="D91" s="9" t="s">
        <v>1659</v>
      </c>
      <c r="E91" s="9" t="s">
        <v>1660</v>
      </c>
      <c r="F91" s="9" t="s">
        <v>1661</v>
      </c>
      <c r="G91" s="1" t="s">
        <v>58</v>
      </c>
      <c r="H91" s="9" t="s">
        <v>1536</v>
      </c>
      <c r="I91" s="9" t="s">
        <v>1537</v>
      </c>
      <c r="J91" s="9" t="s">
        <v>1662</v>
      </c>
      <c r="K91" s="1" t="s">
        <v>106</v>
      </c>
      <c r="L91" s="9" t="s">
        <v>1663</v>
      </c>
      <c r="M91" s="9" t="s">
        <v>1664</v>
      </c>
      <c r="N91" s="9" t="s">
        <v>1665</v>
      </c>
    </row>
    <row r="92" spans="1:14" ht="15" customHeight="1">
      <c r="A92" s="1" t="s">
        <v>1018</v>
      </c>
      <c r="B92" s="1" t="s">
        <v>38</v>
      </c>
      <c r="C92" s="7">
        <v>0.4</v>
      </c>
      <c r="D92" s="9" t="s">
        <v>1619</v>
      </c>
      <c r="E92" s="9" t="s">
        <v>1620</v>
      </c>
      <c r="F92" s="9" t="s">
        <v>1666</v>
      </c>
      <c r="G92" s="1" t="s">
        <v>186</v>
      </c>
      <c r="H92" s="9" t="s">
        <v>1667</v>
      </c>
      <c r="I92" s="9" t="s">
        <v>1668</v>
      </c>
      <c r="J92" s="9" t="s">
        <v>1669</v>
      </c>
      <c r="K92" s="1" t="s">
        <v>96</v>
      </c>
      <c r="L92" s="9" t="s">
        <v>1670</v>
      </c>
      <c r="M92" s="9" t="s">
        <v>1671</v>
      </c>
      <c r="N92" s="9" t="s">
        <v>1672</v>
      </c>
    </row>
    <row r="93" spans="1:14" ht="24" customHeight="1">
      <c r="A93" s="1" t="s">
        <v>1025</v>
      </c>
      <c r="B93" s="1" t="s">
        <v>226</v>
      </c>
      <c r="C93" s="7">
        <v>0.15</v>
      </c>
      <c r="D93" s="9" t="s">
        <v>1673</v>
      </c>
      <c r="E93" s="9" t="s">
        <v>1674</v>
      </c>
      <c r="F93" s="9" t="s">
        <v>1675</v>
      </c>
      <c r="G93" s="1" t="s">
        <v>28</v>
      </c>
      <c r="H93" s="9" t="s">
        <v>1149</v>
      </c>
      <c r="I93" s="9" t="s">
        <v>1150</v>
      </c>
      <c r="J93" s="9" t="s">
        <v>1151</v>
      </c>
      <c r="K93" s="1" t="s">
        <v>1030</v>
      </c>
      <c r="L93" s="9" t="s">
        <v>1676</v>
      </c>
      <c r="M93" s="9" t="s">
        <v>1677</v>
      </c>
      <c r="N93" s="9" t="s">
        <v>1678</v>
      </c>
    </row>
    <row r="94" spans="1:14" ht="15" customHeight="1">
      <c r="A94" s="1" t="s">
        <v>1033</v>
      </c>
      <c r="B94" s="1" t="s">
        <v>260</v>
      </c>
      <c r="C94" s="7">
        <v>0.1</v>
      </c>
      <c r="D94" s="9" t="s">
        <v>1679</v>
      </c>
      <c r="E94" s="9" t="s">
        <v>1680</v>
      </c>
      <c r="F94" s="9" t="s">
        <v>1681</v>
      </c>
      <c r="G94" s="1" t="s">
        <v>28</v>
      </c>
      <c r="H94" s="9" t="s">
        <v>1149</v>
      </c>
      <c r="I94" s="9" t="s">
        <v>1150</v>
      </c>
      <c r="J94" s="9" t="s">
        <v>1151</v>
      </c>
      <c r="K94" s="1" t="s">
        <v>80</v>
      </c>
      <c r="L94" s="9" t="s">
        <v>1682</v>
      </c>
      <c r="M94" s="9" t="s">
        <v>1683</v>
      </c>
      <c r="N94" s="9" t="s">
        <v>1684</v>
      </c>
    </row>
    <row r="95" spans="1:14" ht="24" customHeight="1">
      <c r="A95" s="1" t="s">
        <v>1040</v>
      </c>
      <c r="B95" s="1" t="s">
        <v>92</v>
      </c>
      <c r="C95" s="7">
        <v>0.25</v>
      </c>
      <c r="D95" s="9" t="s">
        <v>1562</v>
      </c>
      <c r="E95" s="9" t="s">
        <v>1563</v>
      </c>
      <c r="F95" s="9" t="s">
        <v>1564</v>
      </c>
      <c r="G95" s="1" t="s">
        <v>42</v>
      </c>
      <c r="H95" s="9" t="s">
        <v>1530</v>
      </c>
      <c r="I95" s="9" t="s">
        <v>1531</v>
      </c>
      <c r="J95" s="9" t="s">
        <v>1685</v>
      </c>
      <c r="K95" s="1" t="s">
        <v>356</v>
      </c>
      <c r="L95" s="9" t="s">
        <v>1686</v>
      </c>
      <c r="M95" s="9" t="s">
        <v>1687</v>
      </c>
      <c r="N95" s="9" t="s">
        <v>1688</v>
      </c>
    </row>
    <row r="96" spans="1:14" ht="15" customHeight="1">
      <c r="A96" s="1" t="s">
        <v>1046</v>
      </c>
      <c r="B96" s="1" t="s">
        <v>372</v>
      </c>
      <c r="C96" s="7">
        <v>0.15</v>
      </c>
      <c r="D96" s="9" t="s">
        <v>1689</v>
      </c>
      <c r="E96" s="9" t="s">
        <v>1690</v>
      </c>
      <c r="F96" s="9" t="s">
        <v>1691</v>
      </c>
      <c r="G96" s="1" t="s">
        <v>256</v>
      </c>
      <c r="H96" s="9" t="s">
        <v>1692</v>
      </c>
      <c r="I96" s="9" t="s">
        <v>1693</v>
      </c>
      <c r="J96" s="9" t="s">
        <v>1662</v>
      </c>
      <c r="K96" s="1" t="s">
        <v>198</v>
      </c>
      <c r="L96" s="9" t="s">
        <v>1694</v>
      </c>
      <c r="M96" s="9" t="s">
        <v>1695</v>
      </c>
      <c r="N96" s="9" t="s">
        <v>1696</v>
      </c>
    </row>
    <row r="97" spans="1:14" ht="15" customHeight="1">
      <c r="A97" s="1" t="s">
        <v>1054</v>
      </c>
      <c r="B97" s="1" t="s">
        <v>38</v>
      </c>
      <c r="C97" s="7">
        <v>0.25</v>
      </c>
      <c r="D97" s="9" t="s">
        <v>1619</v>
      </c>
      <c r="E97" s="9" t="s">
        <v>1620</v>
      </c>
      <c r="F97" s="9" t="s">
        <v>1666</v>
      </c>
      <c r="G97" s="1" t="s">
        <v>94</v>
      </c>
      <c r="H97" s="9" t="s">
        <v>1697</v>
      </c>
      <c r="I97" s="9" t="s">
        <v>1563</v>
      </c>
      <c r="J97" s="9" t="s">
        <v>1698</v>
      </c>
      <c r="K97" s="1" t="s">
        <v>28</v>
      </c>
      <c r="L97" s="9" t="s">
        <v>1149</v>
      </c>
      <c r="M97" s="9" t="s">
        <v>1150</v>
      </c>
      <c r="N97" s="9" t="s">
        <v>1151</v>
      </c>
    </row>
    <row r="98" spans="1:14" ht="24" customHeight="1">
      <c r="A98" s="1" t="s">
        <v>1060</v>
      </c>
      <c r="B98" s="1" t="s">
        <v>218</v>
      </c>
      <c r="C98" s="7">
        <v>0.15</v>
      </c>
      <c r="D98" s="9" t="s">
        <v>1699</v>
      </c>
      <c r="E98" s="9" t="s">
        <v>1700</v>
      </c>
      <c r="F98" s="9" t="s">
        <v>1701</v>
      </c>
      <c r="G98" s="1" t="s">
        <v>36</v>
      </c>
      <c r="H98" s="9" t="s">
        <v>1152</v>
      </c>
      <c r="I98" s="9" t="s">
        <v>1153</v>
      </c>
      <c r="J98" s="9" t="s">
        <v>1154</v>
      </c>
      <c r="K98" s="1" t="s">
        <v>54</v>
      </c>
      <c r="L98" s="9" t="s">
        <v>1702</v>
      </c>
      <c r="M98" s="9" t="s">
        <v>1703</v>
      </c>
      <c r="N98" s="9" t="s">
        <v>1704</v>
      </c>
    </row>
    <row r="99" spans="1:14" ht="24" customHeight="1">
      <c r="A99" s="1" t="s">
        <v>1067</v>
      </c>
      <c r="B99" s="1" t="s">
        <v>42</v>
      </c>
      <c r="C99" s="7">
        <v>0.15</v>
      </c>
      <c r="D99" s="9" t="s">
        <v>1530</v>
      </c>
      <c r="E99" s="9" t="s">
        <v>1531</v>
      </c>
      <c r="F99" s="9" t="s">
        <v>1532</v>
      </c>
      <c r="G99" s="1" t="s">
        <v>38</v>
      </c>
      <c r="H99" s="9" t="s">
        <v>1619</v>
      </c>
      <c r="I99" s="9" t="s">
        <v>1620</v>
      </c>
      <c r="J99" s="9" t="s">
        <v>1705</v>
      </c>
      <c r="K99" s="1" t="s">
        <v>28</v>
      </c>
      <c r="L99" s="9" t="s">
        <v>1149</v>
      </c>
      <c r="M99" s="9" t="s">
        <v>1150</v>
      </c>
      <c r="N99" s="9" t="s">
        <v>1151</v>
      </c>
    </row>
    <row r="100" spans="1:14" ht="24" customHeight="1">
      <c r="A100" s="1" t="s">
        <v>1072</v>
      </c>
      <c r="B100" s="1" t="s">
        <v>82</v>
      </c>
      <c r="C100" s="7">
        <v>0.1</v>
      </c>
      <c r="D100" s="9" t="s">
        <v>1449</v>
      </c>
      <c r="E100" s="9" t="s">
        <v>1450</v>
      </c>
      <c r="F100" s="9" t="s">
        <v>1706</v>
      </c>
      <c r="G100" s="1" t="s">
        <v>310</v>
      </c>
      <c r="H100" s="9" t="s">
        <v>1707</v>
      </c>
      <c r="I100" s="9" t="s">
        <v>1708</v>
      </c>
      <c r="J100" s="9" t="s">
        <v>1709</v>
      </c>
      <c r="K100" s="1" t="s">
        <v>104</v>
      </c>
      <c r="L100" s="9" t="s">
        <v>1710</v>
      </c>
      <c r="M100" s="9" t="s">
        <v>1711</v>
      </c>
      <c r="N100" s="9" t="s">
        <v>1712</v>
      </c>
    </row>
    <row r="101" spans="1:14" ht="15" customHeight="1">
      <c r="A101" s="1" t="s">
        <v>1079</v>
      </c>
      <c r="B101" s="1" t="s">
        <v>166</v>
      </c>
      <c r="C101" s="7">
        <v>0.2</v>
      </c>
      <c r="D101" s="9" t="s">
        <v>1080</v>
      </c>
      <c r="E101" s="9" t="s">
        <v>1713</v>
      </c>
      <c r="F101" s="9" t="s">
        <v>1714</v>
      </c>
      <c r="G101" s="1" t="s">
        <v>28</v>
      </c>
      <c r="H101" s="9" t="s">
        <v>1149</v>
      </c>
      <c r="I101" s="9" t="s">
        <v>1150</v>
      </c>
      <c r="J101" s="9" t="s">
        <v>1151</v>
      </c>
      <c r="K101" s="1" t="s">
        <v>946</v>
      </c>
      <c r="L101" s="9" t="s">
        <v>1259</v>
      </c>
      <c r="M101" s="9" t="s">
        <v>1605</v>
      </c>
      <c r="N101" s="9" t="s">
        <v>1715</v>
      </c>
    </row>
    <row r="102" spans="1:14" ht="24" customHeight="1">
      <c r="A102" s="1" t="s">
        <v>1085</v>
      </c>
      <c r="B102" s="1" t="s">
        <v>296</v>
      </c>
      <c r="C102" s="7">
        <v>0.15</v>
      </c>
      <c r="D102" s="9" t="s">
        <v>1716</v>
      </c>
      <c r="E102" s="9" t="s">
        <v>1717</v>
      </c>
      <c r="F102" s="9" t="s">
        <v>1718</v>
      </c>
      <c r="G102" s="1" t="s">
        <v>84</v>
      </c>
      <c r="H102" s="9" t="s">
        <v>1719</v>
      </c>
      <c r="I102" s="9" t="s">
        <v>1720</v>
      </c>
      <c r="J102" s="9" t="s">
        <v>1721</v>
      </c>
      <c r="K102" s="1" t="s">
        <v>378</v>
      </c>
      <c r="L102" s="9" t="s">
        <v>1722</v>
      </c>
      <c r="M102" s="9" t="s">
        <v>1723</v>
      </c>
      <c r="N102" s="9" t="s">
        <v>1724</v>
      </c>
    </row>
    <row r="103" spans="1:14" ht="24" customHeight="1">
      <c r="A103" s="1" t="s">
        <v>1093</v>
      </c>
      <c r="B103" s="1" t="s">
        <v>78</v>
      </c>
      <c r="C103" s="7">
        <v>0.15</v>
      </c>
      <c r="D103" s="9" t="s">
        <v>1725</v>
      </c>
      <c r="E103" s="9" t="s">
        <v>1726</v>
      </c>
      <c r="F103" s="9" t="s">
        <v>1727</v>
      </c>
      <c r="G103" s="1" t="s">
        <v>268</v>
      </c>
      <c r="H103" s="9" t="s">
        <v>1728</v>
      </c>
      <c r="I103" s="9" t="s">
        <v>1729</v>
      </c>
      <c r="J103" s="9" t="s">
        <v>1730</v>
      </c>
      <c r="K103" s="1" t="s">
        <v>28</v>
      </c>
      <c r="L103" s="9" t="s">
        <v>1149</v>
      </c>
      <c r="M103" s="9" t="s">
        <v>1150</v>
      </c>
      <c r="N103" s="9" t="s">
        <v>1151</v>
      </c>
    </row>
    <row r="104" spans="1:14" ht="15" customHeight="1">
      <c r="A104" s="1" t="s">
        <v>1100</v>
      </c>
      <c r="B104" s="1" t="s">
        <v>132</v>
      </c>
      <c r="C104" s="7">
        <v>0.2</v>
      </c>
      <c r="D104" s="9" t="s">
        <v>1731</v>
      </c>
      <c r="E104" s="9" t="s">
        <v>1732</v>
      </c>
      <c r="F104" s="9" t="s">
        <v>1733</v>
      </c>
      <c r="G104" s="1" t="s">
        <v>28</v>
      </c>
      <c r="H104" s="9" t="s">
        <v>1149</v>
      </c>
      <c r="I104" s="9" t="s">
        <v>1150</v>
      </c>
      <c r="J104" s="9" t="s">
        <v>1151</v>
      </c>
      <c r="K104" s="1" t="s">
        <v>336</v>
      </c>
      <c r="L104" s="9" t="s">
        <v>1734</v>
      </c>
      <c r="M104" s="9" t="s">
        <v>1735</v>
      </c>
      <c r="N104" s="9" t="s">
        <v>1736</v>
      </c>
    </row>
    <row r="105" spans="1:14" ht="24" customHeight="1">
      <c r="A105" s="1" t="s">
        <v>1107</v>
      </c>
      <c r="B105" s="1" t="s">
        <v>222</v>
      </c>
      <c r="C105" s="7">
        <v>0.15</v>
      </c>
      <c r="D105" s="9" t="s">
        <v>1737</v>
      </c>
      <c r="E105" s="9" t="s">
        <v>1738</v>
      </c>
      <c r="F105" s="9" t="s">
        <v>1739</v>
      </c>
      <c r="G105" s="1" t="s">
        <v>28</v>
      </c>
      <c r="H105" s="9" t="s">
        <v>1149</v>
      </c>
      <c r="I105" s="9" t="s">
        <v>1150</v>
      </c>
      <c r="J105" s="9" t="s">
        <v>1151</v>
      </c>
      <c r="K105" s="1" t="s">
        <v>1030</v>
      </c>
      <c r="L105" s="9" t="s">
        <v>1676</v>
      </c>
      <c r="M105" s="9" t="s">
        <v>1677</v>
      </c>
      <c r="N105" s="9" t="s">
        <v>1678</v>
      </c>
    </row>
    <row r="106" spans="1:14" ht="24" customHeight="1">
      <c r="A106" s="1" t="s">
        <v>1113</v>
      </c>
      <c r="B106" s="1" t="s">
        <v>78</v>
      </c>
      <c r="C106" s="7">
        <v>0.15</v>
      </c>
      <c r="D106" s="9" t="s">
        <v>78</v>
      </c>
      <c r="E106" s="9" t="s">
        <v>1726</v>
      </c>
      <c r="F106" s="9" t="s">
        <v>1740</v>
      </c>
      <c r="G106" s="1" t="s">
        <v>292</v>
      </c>
      <c r="H106" s="9" t="s">
        <v>1741</v>
      </c>
      <c r="I106" s="9" t="s">
        <v>1742</v>
      </c>
      <c r="J106" s="9" t="s">
        <v>1743</v>
      </c>
      <c r="K106" s="1" t="s">
        <v>366</v>
      </c>
      <c r="L106" s="9" t="s">
        <v>1744</v>
      </c>
      <c r="M106" s="9" t="s">
        <v>1745</v>
      </c>
      <c r="N106" s="9" t="s">
        <v>1746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Service analysis</vt:lpstr>
      <vt:lpstr>Listings</vt:lpstr>
      <vt:lpstr>Markets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Sharma</cp:lastModifiedBy>
  <dcterms:modified xsi:type="dcterms:W3CDTF">2026-10-02T07:52:53Z</dcterms:modified>
</cp:coreProperties>
</file>